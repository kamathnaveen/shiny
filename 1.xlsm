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\\Bsc\actuarial\Reserves\Distribution\BIS\TEST CASES\MODELS\"/>
    </mc:Choice>
  </mc:AlternateContent>
  <bookViews>
    <workbookView xWindow="46305" yWindow="0" windowWidth="27855" windowHeight="13890"/>
  </bookViews>
  <sheets>
    <sheet name="Members" sheetId="9" r:id="rId1"/>
    <sheet name="EMAIL" sheetId="36" r:id="rId2"/>
    <sheet name="BIS" sheetId="29" r:id="rId3"/>
    <sheet name="BIS-D" sheetId="34" r:id="rId4"/>
    <sheet name="BIS-V" sheetId="35" r:id="rId5"/>
    <sheet name="Reserves" sheetId="31" r:id="rId6"/>
    <sheet name="ResCat" sheetId="12" r:id="rId7"/>
    <sheet name="COA" sheetId="27" r:id="rId8"/>
    <sheet name="Sample" sheetId="30" r:id="rId9"/>
  </sheets>
  <externalReferences>
    <externalReference r:id="rId10"/>
  </externalReferences>
  <definedNames>
    <definedName name="_xlnm._FilterDatabase" localSheetId="2" hidden="1">BIS!$C$2:$M$165</definedName>
    <definedName name="_xlnm._FilterDatabase" localSheetId="3" hidden="1">'BIS-D'!$C$2:$J$425</definedName>
    <definedName name="_xlnm._FilterDatabase" localSheetId="4" hidden="1">'BIS-V'!$C$2:$J$2</definedName>
    <definedName name="_xlnm._FilterDatabase" localSheetId="0" hidden="1">#REF!</definedName>
    <definedName name="_xlnm._FilterDatabase" localSheetId="5" hidden="1">Reserves!$A$8:$F$236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6" i="29" l="1"/>
  <c r="D166" i="29"/>
  <c r="C166" i="29"/>
  <c r="F33" i="36" l="1"/>
  <c r="F32" i="36"/>
  <c r="F31" i="36"/>
  <c r="F30" i="36"/>
  <c r="F29" i="36"/>
  <c r="F28" i="36"/>
  <c r="F27" i="36"/>
  <c r="F26" i="36"/>
  <c r="F25" i="36"/>
  <c r="F24" i="36"/>
  <c r="F23" i="36"/>
  <c r="F22" i="36"/>
  <c r="F21" i="36"/>
  <c r="F20" i="36"/>
  <c r="E21" i="35" l="1"/>
  <c r="D21" i="35" s="1"/>
  <c r="C21" i="35" s="1"/>
  <c r="E20" i="35"/>
  <c r="D20" i="35" s="1"/>
  <c r="C20" i="35" s="1"/>
  <c r="E19" i="35"/>
  <c r="D19" i="35" s="1"/>
  <c r="C19" i="35" s="1"/>
  <c r="E18" i="35"/>
  <c r="D18" i="35"/>
  <c r="C18" i="35" s="1"/>
  <c r="E39" i="34"/>
  <c r="D39" i="34" s="1"/>
  <c r="C39" i="34" s="1"/>
  <c r="E38" i="34"/>
  <c r="D38" i="34" s="1"/>
  <c r="C38" i="34" s="1"/>
  <c r="E37" i="34"/>
  <c r="D37" i="34" s="1"/>
  <c r="C37" i="34" s="1"/>
  <c r="E165" i="29" l="1"/>
  <c r="D165" i="29" s="1"/>
  <c r="C165" i="29" s="1"/>
  <c r="E164" i="29"/>
  <c r="D164" i="29"/>
  <c r="C164" i="29" s="1"/>
  <c r="E163" i="29"/>
  <c r="D163" i="29" s="1"/>
  <c r="C163" i="29" s="1"/>
  <c r="J26" i="9" l="1"/>
  <c r="Q26" i="9" s="1"/>
  <c r="I26" i="9"/>
  <c r="M26" i="9" s="1"/>
  <c r="I27" i="9"/>
  <c r="M27" i="9" s="1"/>
  <c r="E17" i="35" l="1"/>
  <c r="D17" i="35" s="1"/>
  <c r="C17" i="35" s="1"/>
  <c r="E16" i="35"/>
  <c r="D16" i="35" s="1"/>
  <c r="C16" i="35" s="1"/>
  <c r="E15" i="35"/>
  <c r="D15" i="35" s="1"/>
  <c r="C15" i="35" s="1"/>
  <c r="E14" i="35"/>
  <c r="D14" i="35" s="1"/>
  <c r="C14" i="35" s="1"/>
  <c r="E13" i="35"/>
  <c r="D13" i="35" s="1"/>
  <c r="C13" i="35" s="1"/>
  <c r="E12" i="35"/>
  <c r="D12" i="35" s="1"/>
  <c r="C12" i="35" s="1"/>
  <c r="E11" i="35"/>
  <c r="D11" i="35" s="1"/>
  <c r="C11" i="35" s="1"/>
  <c r="E10" i="35"/>
  <c r="D10" i="35" s="1"/>
  <c r="C10" i="35" s="1"/>
  <c r="E9" i="35"/>
  <c r="D9" i="35" s="1"/>
  <c r="C9" i="35" s="1"/>
  <c r="E8" i="35"/>
  <c r="D8" i="35" s="1"/>
  <c r="C8" i="35" s="1"/>
  <c r="E7" i="35"/>
  <c r="D7" i="35" s="1"/>
  <c r="C7" i="35" s="1"/>
  <c r="E6" i="35"/>
  <c r="D6" i="35" s="1"/>
  <c r="C6" i="35" s="1"/>
  <c r="E5" i="35"/>
  <c r="D5" i="35" s="1"/>
  <c r="C5" i="35" s="1"/>
  <c r="E4" i="35"/>
  <c r="D4" i="35" s="1"/>
  <c r="C4" i="35" s="1"/>
  <c r="E3" i="35"/>
  <c r="D3" i="35" s="1"/>
  <c r="C3" i="35" s="1"/>
  <c r="E36" i="34"/>
  <c r="D36" i="34" s="1"/>
  <c r="C36" i="34" s="1"/>
  <c r="E35" i="34"/>
  <c r="D35" i="34" s="1"/>
  <c r="C35" i="34" s="1"/>
  <c r="E34" i="34"/>
  <c r="D34" i="34" s="1"/>
  <c r="C34" i="34" s="1"/>
  <c r="E33" i="34"/>
  <c r="D33" i="34" s="1"/>
  <c r="C33" i="34" s="1"/>
  <c r="E32" i="34"/>
  <c r="D32" i="34" s="1"/>
  <c r="C32" i="34" s="1"/>
  <c r="E31" i="34"/>
  <c r="D31" i="34" s="1"/>
  <c r="C31" i="34" s="1"/>
  <c r="E30" i="34"/>
  <c r="D30" i="34" s="1"/>
  <c r="C30" i="34" s="1"/>
  <c r="E29" i="34"/>
  <c r="D29" i="34" s="1"/>
  <c r="C29" i="34" s="1"/>
  <c r="E28" i="34"/>
  <c r="D28" i="34" s="1"/>
  <c r="C28" i="34" s="1"/>
  <c r="E27" i="34"/>
  <c r="D27" i="34" s="1"/>
  <c r="C27" i="34" s="1"/>
  <c r="E26" i="34"/>
  <c r="D26" i="34" s="1"/>
  <c r="C26" i="34" s="1"/>
  <c r="E25" i="34"/>
  <c r="D25" i="34" s="1"/>
  <c r="C25" i="34" s="1"/>
  <c r="E24" i="34"/>
  <c r="D24" i="34" s="1"/>
  <c r="C24" i="34" s="1"/>
  <c r="E23" i="34"/>
  <c r="D23" i="34" s="1"/>
  <c r="C23" i="34" s="1"/>
  <c r="E22" i="34"/>
  <c r="D22" i="34" s="1"/>
  <c r="C22" i="34" s="1"/>
  <c r="E21" i="34"/>
  <c r="D21" i="34" s="1"/>
  <c r="C21" i="34" s="1"/>
  <c r="E20" i="34"/>
  <c r="D20" i="34" s="1"/>
  <c r="C20" i="34" s="1"/>
  <c r="E19" i="34"/>
  <c r="D19" i="34" s="1"/>
  <c r="C19" i="34" s="1"/>
  <c r="E18" i="34"/>
  <c r="D18" i="34" s="1"/>
  <c r="C18" i="34" s="1"/>
  <c r="E17" i="34"/>
  <c r="D17" i="34" s="1"/>
  <c r="C17" i="34" s="1"/>
  <c r="E16" i="34"/>
  <c r="D16" i="34" s="1"/>
  <c r="C16" i="34" s="1"/>
  <c r="E15" i="34"/>
  <c r="D15" i="34" s="1"/>
  <c r="C15" i="34" s="1"/>
  <c r="E14" i="34"/>
  <c r="D14" i="34" s="1"/>
  <c r="C14" i="34" s="1"/>
  <c r="E13" i="34"/>
  <c r="D13" i="34" s="1"/>
  <c r="C13" i="34" s="1"/>
  <c r="E12" i="34"/>
  <c r="D12" i="34" s="1"/>
  <c r="C12" i="34" s="1"/>
  <c r="E11" i="34"/>
  <c r="D11" i="34" s="1"/>
  <c r="C11" i="34" s="1"/>
  <c r="E10" i="34"/>
  <c r="D10" i="34" s="1"/>
  <c r="C10" i="34" s="1"/>
  <c r="E9" i="34"/>
  <c r="D9" i="34" s="1"/>
  <c r="C9" i="34" s="1"/>
  <c r="E8" i="34"/>
  <c r="D8" i="34" s="1"/>
  <c r="C8" i="34" s="1"/>
  <c r="E7" i="34"/>
  <c r="D7" i="34" s="1"/>
  <c r="C7" i="34" s="1"/>
  <c r="E6" i="34"/>
  <c r="D6" i="34" s="1"/>
  <c r="C6" i="34" s="1"/>
  <c r="E5" i="34"/>
  <c r="D5" i="34" s="1"/>
  <c r="C5" i="34" s="1"/>
  <c r="E4" i="34"/>
  <c r="D4" i="34" s="1"/>
  <c r="C4" i="34" s="1"/>
  <c r="E3" i="34"/>
  <c r="D3" i="34" s="1"/>
  <c r="C3" i="34" s="1"/>
  <c r="E30" i="9" l="1"/>
  <c r="E25" i="9"/>
  <c r="E21" i="9"/>
  <c r="E17" i="9"/>
  <c r="E13" i="9"/>
  <c r="E9" i="9"/>
  <c r="E5" i="9"/>
  <c r="E29" i="9"/>
  <c r="E24" i="9"/>
  <c r="E20" i="9"/>
  <c r="E16" i="9"/>
  <c r="E12" i="9"/>
  <c r="E8" i="9"/>
  <c r="E4" i="9"/>
  <c r="E28" i="9"/>
  <c r="E23" i="9"/>
  <c r="E19" i="9"/>
  <c r="E15" i="9"/>
  <c r="E11" i="9"/>
  <c r="E7" i="9"/>
  <c r="E26" i="9"/>
  <c r="N27" i="9" s="1"/>
  <c r="E22" i="9"/>
  <c r="E18" i="9"/>
  <c r="E14" i="9"/>
  <c r="E10" i="9"/>
  <c r="E6" i="9"/>
  <c r="C28" i="9"/>
  <c r="C23" i="9"/>
  <c r="C19" i="9"/>
  <c r="C15" i="9"/>
  <c r="C11" i="9"/>
  <c r="C7" i="9"/>
  <c r="C26" i="9"/>
  <c r="N26" i="9" s="1"/>
  <c r="C22" i="9"/>
  <c r="C18" i="9"/>
  <c r="C14" i="9"/>
  <c r="C10" i="9"/>
  <c r="C6" i="9"/>
  <c r="C30" i="9"/>
  <c r="C25" i="9"/>
  <c r="C21" i="9"/>
  <c r="C17" i="9"/>
  <c r="C13" i="9"/>
  <c r="C9" i="9"/>
  <c r="C5" i="9"/>
  <c r="C29" i="9"/>
  <c r="C24" i="9"/>
  <c r="C20" i="9"/>
  <c r="C16" i="9"/>
  <c r="C12" i="9"/>
  <c r="C8" i="9"/>
  <c r="C4" i="9"/>
  <c r="J30" i="9"/>
  <c r="Q30" i="9" s="1"/>
  <c r="J29" i="9"/>
  <c r="Q29" i="9" s="1"/>
  <c r="J28" i="9"/>
  <c r="Q28" i="9" s="1"/>
  <c r="J25" i="9"/>
  <c r="Q25" i="9" s="1"/>
  <c r="J24" i="9"/>
  <c r="Q24" i="9" s="1"/>
  <c r="J23" i="9"/>
  <c r="Q23" i="9" s="1"/>
  <c r="J22" i="9"/>
  <c r="Q22" i="9" s="1"/>
  <c r="J21" i="9"/>
  <c r="Q21" i="9" s="1"/>
  <c r="J20" i="9"/>
  <c r="Q20" i="9" s="1"/>
  <c r="J19" i="9"/>
  <c r="Q19" i="9" s="1"/>
  <c r="J18" i="9"/>
  <c r="Q18" i="9" s="1"/>
  <c r="J17" i="9"/>
  <c r="Q17" i="9" s="1"/>
  <c r="J16" i="9"/>
  <c r="Q16" i="9" s="1"/>
  <c r="J15" i="9"/>
  <c r="Q15" i="9" s="1"/>
  <c r="J14" i="9"/>
  <c r="Q14" i="9" s="1"/>
  <c r="J13" i="9"/>
  <c r="Q13" i="9" s="1"/>
  <c r="J12" i="9"/>
  <c r="Q12" i="9" s="1"/>
  <c r="J11" i="9"/>
  <c r="Q11" i="9" s="1"/>
  <c r="J10" i="9"/>
  <c r="Q10" i="9" s="1"/>
  <c r="J9" i="9"/>
  <c r="Q9" i="9" s="1"/>
  <c r="J8" i="9"/>
  <c r="Q8" i="9" s="1"/>
  <c r="J7" i="9"/>
  <c r="Q7" i="9" s="1"/>
  <c r="J6" i="9"/>
  <c r="Q6" i="9" s="1"/>
  <c r="J5" i="9"/>
  <c r="Q5" i="9" s="1"/>
  <c r="J4" i="9"/>
  <c r="Q4" i="9" s="1"/>
  <c r="H2" i="9" l="1"/>
  <c r="E162" i="29" l="1"/>
  <c r="D162" i="29" s="1"/>
  <c r="C162" i="29" s="1"/>
  <c r="E161" i="29"/>
  <c r="D161" i="29" s="1"/>
  <c r="C161" i="29" s="1"/>
  <c r="E160" i="29"/>
  <c r="D160" i="29" s="1"/>
  <c r="C160" i="29" s="1"/>
  <c r="E159" i="29"/>
  <c r="D159" i="29" s="1"/>
  <c r="C159" i="29" s="1"/>
  <c r="E158" i="29"/>
  <c r="D158" i="29" s="1"/>
  <c r="C158" i="29" s="1"/>
  <c r="E157" i="29"/>
  <c r="D157" i="29" s="1"/>
  <c r="C157" i="29" s="1"/>
  <c r="E156" i="29"/>
  <c r="D156" i="29" s="1"/>
  <c r="C156" i="29" s="1"/>
  <c r="E155" i="29"/>
  <c r="D155" i="29" s="1"/>
  <c r="C155" i="29" s="1"/>
  <c r="E154" i="29"/>
  <c r="D154" i="29" s="1"/>
  <c r="C154" i="29" s="1"/>
  <c r="E153" i="29"/>
  <c r="D153" i="29" s="1"/>
  <c r="C153" i="29" s="1"/>
  <c r="E152" i="29"/>
  <c r="D152" i="29" s="1"/>
  <c r="C152" i="29" s="1"/>
  <c r="E151" i="29"/>
  <c r="D151" i="29" s="1"/>
  <c r="C151" i="29" s="1"/>
  <c r="E150" i="29"/>
  <c r="D150" i="29" s="1"/>
  <c r="C150" i="29" s="1"/>
  <c r="E149" i="29"/>
  <c r="D149" i="29" s="1"/>
  <c r="C149" i="29" s="1"/>
  <c r="E148" i="29"/>
  <c r="D148" i="29" s="1"/>
  <c r="C148" i="29" s="1"/>
  <c r="E147" i="29"/>
  <c r="D147" i="29" s="1"/>
  <c r="C147" i="29" s="1"/>
  <c r="E146" i="29"/>
  <c r="D146" i="29" s="1"/>
  <c r="C146" i="29" s="1"/>
  <c r="E145" i="29"/>
  <c r="D145" i="29" s="1"/>
  <c r="C145" i="29" s="1"/>
  <c r="E144" i="29"/>
  <c r="D144" i="29" s="1"/>
  <c r="C144" i="29" s="1"/>
  <c r="E143" i="29"/>
  <c r="D143" i="29" s="1"/>
  <c r="C143" i="29" s="1"/>
  <c r="E142" i="29"/>
  <c r="D142" i="29" s="1"/>
  <c r="C142" i="29" s="1"/>
  <c r="E141" i="29"/>
  <c r="D141" i="29" s="1"/>
  <c r="C141" i="29" s="1"/>
  <c r="E140" i="29"/>
  <c r="D140" i="29" s="1"/>
  <c r="C140" i="29" s="1"/>
  <c r="E139" i="29"/>
  <c r="D139" i="29" s="1"/>
  <c r="C139" i="29" s="1"/>
  <c r="E138" i="29"/>
  <c r="D138" i="29" s="1"/>
  <c r="C138" i="29" s="1"/>
  <c r="E137" i="29"/>
  <c r="D137" i="29" s="1"/>
  <c r="C137" i="29" s="1"/>
  <c r="E136" i="29"/>
  <c r="D136" i="29" s="1"/>
  <c r="C136" i="29" s="1"/>
  <c r="E135" i="29"/>
  <c r="D135" i="29" s="1"/>
  <c r="C135" i="29" s="1"/>
  <c r="E134" i="29"/>
  <c r="D134" i="29" s="1"/>
  <c r="C134" i="29" s="1"/>
  <c r="E133" i="29"/>
  <c r="D133" i="29" s="1"/>
  <c r="C133" i="29" s="1"/>
  <c r="E132" i="29"/>
  <c r="D132" i="29" s="1"/>
  <c r="C132" i="29" s="1"/>
  <c r="E131" i="29"/>
  <c r="D131" i="29" s="1"/>
  <c r="C131" i="29" s="1"/>
  <c r="E130" i="29"/>
  <c r="D130" i="29" s="1"/>
  <c r="C130" i="29" s="1"/>
  <c r="E129" i="29"/>
  <c r="D129" i="29" s="1"/>
  <c r="C129" i="29" s="1"/>
  <c r="E128" i="29"/>
  <c r="D128" i="29" s="1"/>
  <c r="C128" i="29" s="1"/>
  <c r="E127" i="29"/>
  <c r="D127" i="29" s="1"/>
  <c r="C127" i="29" s="1"/>
  <c r="E126" i="29"/>
  <c r="D126" i="29" s="1"/>
  <c r="C126" i="29" s="1"/>
  <c r="E125" i="29"/>
  <c r="D125" i="29" s="1"/>
  <c r="C125" i="29" s="1"/>
  <c r="E124" i="29"/>
  <c r="D124" i="29" s="1"/>
  <c r="C124" i="29" s="1"/>
  <c r="E123" i="29"/>
  <c r="D123" i="29" s="1"/>
  <c r="C123" i="29" s="1"/>
  <c r="E122" i="29"/>
  <c r="D122" i="29" s="1"/>
  <c r="C122" i="29" s="1"/>
  <c r="E121" i="29"/>
  <c r="D121" i="29" s="1"/>
  <c r="C121" i="29" s="1"/>
  <c r="E120" i="29"/>
  <c r="D120" i="29" s="1"/>
  <c r="C120" i="29" s="1"/>
  <c r="E119" i="29"/>
  <c r="D119" i="29" s="1"/>
  <c r="C119" i="29" s="1"/>
  <c r="E118" i="29"/>
  <c r="D118" i="29" s="1"/>
  <c r="C118" i="29" s="1"/>
  <c r="E117" i="29"/>
  <c r="D117" i="29" s="1"/>
  <c r="C117" i="29" s="1"/>
  <c r="E116" i="29"/>
  <c r="D116" i="29" s="1"/>
  <c r="C116" i="29" s="1"/>
  <c r="E115" i="29"/>
  <c r="D115" i="29" s="1"/>
  <c r="C115" i="29" s="1"/>
  <c r="E114" i="29"/>
  <c r="D114" i="29" s="1"/>
  <c r="C114" i="29" s="1"/>
  <c r="E113" i="29"/>
  <c r="D113" i="29" s="1"/>
  <c r="C113" i="29" s="1"/>
  <c r="E112" i="29"/>
  <c r="D112" i="29" s="1"/>
  <c r="C112" i="29" s="1"/>
  <c r="E111" i="29"/>
  <c r="D111" i="29" s="1"/>
  <c r="C111" i="29" s="1"/>
  <c r="E110" i="29"/>
  <c r="D110" i="29" s="1"/>
  <c r="C110" i="29" s="1"/>
  <c r="E109" i="29"/>
  <c r="D109" i="29" s="1"/>
  <c r="C109" i="29" s="1"/>
  <c r="E108" i="29"/>
  <c r="D108" i="29" s="1"/>
  <c r="C108" i="29" s="1"/>
  <c r="E107" i="29"/>
  <c r="D107" i="29" s="1"/>
  <c r="C107" i="29" s="1"/>
  <c r="E106" i="29"/>
  <c r="D106" i="29" s="1"/>
  <c r="C106" i="29" s="1"/>
  <c r="E105" i="29"/>
  <c r="D105" i="29" s="1"/>
  <c r="C105" i="29" s="1"/>
  <c r="E104" i="29"/>
  <c r="D104" i="29" s="1"/>
  <c r="C104" i="29" s="1"/>
  <c r="E103" i="29"/>
  <c r="D103" i="29" s="1"/>
  <c r="C103" i="29" s="1"/>
  <c r="E102" i="29"/>
  <c r="D102" i="29" s="1"/>
  <c r="C102" i="29" s="1"/>
  <c r="E101" i="29"/>
  <c r="D101" i="29" s="1"/>
  <c r="C101" i="29" s="1"/>
  <c r="E100" i="29"/>
  <c r="D100" i="29" s="1"/>
  <c r="C100" i="29" s="1"/>
  <c r="E99" i="29"/>
  <c r="D99" i="29" s="1"/>
  <c r="C99" i="29" s="1"/>
  <c r="E98" i="29"/>
  <c r="D98" i="29" s="1"/>
  <c r="C98" i="29" s="1"/>
  <c r="E97" i="29"/>
  <c r="D97" i="29" s="1"/>
  <c r="C97" i="29" s="1"/>
  <c r="E96" i="29"/>
  <c r="D96" i="29" s="1"/>
  <c r="C96" i="29" s="1"/>
  <c r="E95" i="29"/>
  <c r="D95" i="29" s="1"/>
  <c r="C95" i="29" s="1"/>
  <c r="E94" i="29"/>
  <c r="D94" i="29" s="1"/>
  <c r="C94" i="29" s="1"/>
  <c r="E93" i="29" l="1"/>
  <c r="D93" i="29" s="1"/>
  <c r="C93" i="29" s="1"/>
  <c r="E92" i="29"/>
  <c r="D92" i="29" s="1"/>
  <c r="C92" i="29" s="1"/>
  <c r="E91" i="29" l="1"/>
  <c r="D91" i="29" s="1"/>
  <c r="C91" i="29" s="1"/>
  <c r="E90" i="29"/>
  <c r="D90" i="29" s="1"/>
  <c r="C90" i="29" s="1"/>
  <c r="E89" i="29"/>
  <c r="D89" i="29" s="1"/>
  <c r="C89" i="29" s="1"/>
  <c r="E88" i="29"/>
  <c r="D88" i="29" s="1"/>
  <c r="C88" i="29" s="1"/>
  <c r="E87" i="29"/>
  <c r="D87" i="29" s="1"/>
  <c r="C87" i="29" s="1"/>
  <c r="E86" i="29"/>
  <c r="D86" i="29" s="1"/>
  <c r="C86" i="29" s="1"/>
  <c r="E85" i="29"/>
  <c r="D85" i="29" s="1"/>
  <c r="C85" i="29" s="1"/>
  <c r="E84" i="29"/>
  <c r="D84" i="29" s="1"/>
  <c r="C84" i="29" s="1"/>
  <c r="I30" i="9" l="1"/>
  <c r="M30" i="9" s="1"/>
  <c r="I29" i="9"/>
  <c r="M29" i="9" s="1"/>
  <c r="I28" i="9"/>
  <c r="M28" i="9" s="1"/>
  <c r="I25" i="9"/>
  <c r="M25" i="9" s="1"/>
  <c r="I24" i="9"/>
  <c r="M24" i="9" s="1"/>
  <c r="I23" i="9"/>
  <c r="M23" i="9" s="1"/>
  <c r="I22" i="9"/>
  <c r="M22" i="9" s="1"/>
  <c r="I21" i="9"/>
  <c r="M21" i="9" s="1"/>
  <c r="I20" i="9"/>
  <c r="M20" i="9" s="1"/>
  <c r="I19" i="9"/>
  <c r="M19" i="9" s="1"/>
  <c r="I18" i="9"/>
  <c r="M18" i="9" s="1"/>
  <c r="I17" i="9"/>
  <c r="M17" i="9" s="1"/>
  <c r="I16" i="9"/>
  <c r="M16" i="9" s="1"/>
  <c r="I15" i="9"/>
  <c r="M15" i="9" s="1"/>
  <c r="I14" i="9"/>
  <c r="M14" i="9" s="1"/>
  <c r="I13" i="9"/>
  <c r="M13" i="9" s="1"/>
  <c r="I12" i="9"/>
  <c r="M12" i="9" s="1"/>
  <c r="I11" i="9"/>
  <c r="M11" i="9" s="1"/>
  <c r="I10" i="9"/>
  <c r="M10" i="9" s="1"/>
  <c r="I9" i="9"/>
  <c r="M9" i="9" s="1"/>
  <c r="I8" i="9"/>
  <c r="M8" i="9" s="1"/>
  <c r="I7" i="9"/>
  <c r="M7" i="9" s="1"/>
  <c r="I6" i="9"/>
  <c r="M6" i="9" s="1"/>
  <c r="I5" i="9"/>
  <c r="M5" i="9" s="1"/>
  <c r="I4" i="9"/>
  <c r="M4" i="9" s="1"/>
  <c r="B35" i="9" l="1"/>
  <c r="E83" i="29"/>
  <c r="D83" i="29" s="1"/>
  <c r="C83" i="29" s="1"/>
  <c r="E82" i="29"/>
  <c r="D82" i="29" s="1"/>
  <c r="C82" i="29" s="1"/>
  <c r="E81" i="29"/>
  <c r="D81" i="29" s="1"/>
  <c r="C81" i="29" s="1"/>
  <c r="E80" i="29"/>
  <c r="D80" i="29" s="1"/>
  <c r="C80" i="29" s="1"/>
  <c r="E79" i="29"/>
  <c r="D79" i="29" s="1"/>
  <c r="C79" i="29" s="1"/>
  <c r="E78" i="29"/>
  <c r="D78" i="29" s="1"/>
  <c r="C78" i="29" s="1"/>
  <c r="E77" i="29"/>
  <c r="D77" i="29" s="1"/>
  <c r="C77" i="29" s="1"/>
  <c r="E76" i="29"/>
  <c r="D76" i="29" s="1"/>
  <c r="C76" i="29" s="1"/>
  <c r="E75" i="29"/>
  <c r="D75" i="29" s="1"/>
  <c r="C75" i="29" s="1"/>
  <c r="E74" i="29"/>
  <c r="D74" i="29" s="1"/>
  <c r="C74" i="29" s="1"/>
  <c r="E73" i="29"/>
  <c r="D73" i="29" s="1"/>
  <c r="C73" i="29" s="1"/>
  <c r="E72" i="29"/>
  <c r="D72" i="29" s="1"/>
  <c r="C72" i="29" s="1"/>
  <c r="E71" i="29"/>
  <c r="D71" i="29" s="1"/>
  <c r="C71" i="29" s="1"/>
  <c r="E70" i="29"/>
  <c r="D70" i="29" s="1"/>
  <c r="C70" i="29" s="1"/>
  <c r="E69" i="29"/>
  <c r="D69" i="29" s="1"/>
  <c r="C69" i="29" s="1"/>
  <c r="E68" i="29"/>
  <c r="D68" i="29" s="1"/>
  <c r="C68" i="29" s="1"/>
  <c r="E67" i="29"/>
  <c r="D67" i="29" s="1"/>
  <c r="C67" i="29" s="1"/>
  <c r="E66" i="29"/>
  <c r="D66" i="29" s="1"/>
  <c r="C66" i="29" s="1"/>
  <c r="E65" i="29"/>
  <c r="D65" i="29" s="1"/>
  <c r="C65" i="29" s="1"/>
  <c r="E64" i="29"/>
  <c r="D64" i="29" s="1"/>
  <c r="C64" i="29" s="1"/>
  <c r="E63" i="29"/>
  <c r="D63" i="29" s="1"/>
  <c r="C63" i="29" s="1"/>
  <c r="E62" i="29"/>
  <c r="D62" i="29" s="1"/>
  <c r="C62" i="29" s="1"/>
  <c r="E61" i="29"/>
  <c r="D61" i="29" s="1"/>
  <c r="C61" i="29" s="1"/>
  <c r="E60" i="29"/>
  <c r="D60" i="29" s="1"/>
  <c r="C60" i="29" s="1"/>
  <c r="E59" i="29"/>
  <c r="D59" i="29" s="1"/>
  <c r="C59" i="29" s="1"/>
  <c r="E58" i="29"/>
  <c r="D58" i="29" s="1"/>
  <c r="C58" i="29" s="1"/>
  <c r="E57" i="29"/>
  <c r="D57" i="29" s="1"/>
  <c r="C57" i="29" s="1"/>
  <c r="E56" i="29"/>
  <c r="D56" i="29" s="1"/>
  <c r="C56" i="29" s="1"/>
  <c r="E55" i="29"/>
  <c r="D55" i="29" s="1"/>
  <c r="C55" i="29" s="1"/>
  <c r="E54" i="29"/>
  <c r="D54" i="29" s="1"/>
  <c r="C54" i="29" s="1"/>
  <c r="E53" i="29"/>
  <c r="D53" i="29" s="1"/>
  <c r="C53" i="29" s="1"/>
  <c r="E52" i="29"/>
  <c r="D52" i="29" s="1"/>
  <c r="C52" i="29" s="1"/>
  <c r="E51" i="29"/>
  <c r="D51" i="29" s="1"/>
  <c r="C51" i="29" s="1"/>
  <c r="E50" i="29"/>
  <c r="D50" i="29" s="1"/>
  <c r="C50" i="29" s="1"/>
  <c r="E49" i="29"/>
  <c r="D49" i="29" s="1"/>
  <c r="C49" i="29" s="1"/>
  <c r="E48" i="29"/>
  <c r="D48" i="29" s="1"/>
  <c r="C48" i="29" s="1"/>
  <c r="E47" i="29"/>
  <c r="D47" i="29" s="1"/>
  <c r="C47" i="29" s="1"/>
  <c r="E46" i="29"/>
  <c r="D46" i="29" s="1"/>
  <c r="C46" i="29" s="1"/>
  <c r="E45" i="29"/>
  <c r="D45" i="29" s="1"/>
  <c r="C45" i="29" s="1"/>
  <c r="E44" i="29"/>
  <c r="D44" i="29" s="1"/>
  <c r="C44" i="29" s="1"/>
  <c r="E43" i="29"/>
  <c r="D43" i="29" s="1"/>
  <c r="C43" i="29" s="1"/>
  <c r="E42" i="29"/>
  <c r="D42" i="29" s="1"/>
  <c r="C42" i="29" s="1"/>
  <c r="E41" i="29"/>
  <c r="D41" i="29" s="1"/>
  <c r="C41" i="29" s="1"/>
  <c r="E40" i="29"/>
  <c r="D40" i="29" s="1"/>
  <c r="C40" i="29" s="1"/>
  <c r="E39" i="29"/>
  <c r="D39" i="29" s="1"/>
  <c r="C39" i="29" s="1"/>
  <c r="E38" i="29"/>
  <c r="D38" i="29" s="1"/>
  <c r="C38" i="29" s="1"/>
  <c r="E37" i="29"/>
  <c r="D37" i="29" s="1"/>
  <c r="C37" i="29" s="1"/>
  <c r="E36" i="29"/>
  <c r="D36" i="29" s="1"/>
  <c r="C36" i="29" s="1"/>
  <c r="E35" i="29"/>
  <c r="D35" i="29" s="1"/>
  <c r="C35" i="29" s="1"/>
  <c r="E34" i="29"/>
  <c r="D34" i="29" s="1"/>
  <c r="C34" i="29" s="1"/>
  <c r="E33" i="29"/>
  <c r="D33" i="29" s="1"/>
  <c r="C33" i="29" s="1"/>
  <c r="E32" i="29"/>
  <c r="D32" i="29" s="1"/>
  <c r="C32" i="29" s="1"/>
  <c r="E31" i="29"/>
  <c r="D31" i="29" s="1"/>
  <c r="C31" i="29" s="1"/>
  <c r="E30" i="29"/>
  <c r="D30" i="29" s="1"/>
  <c r="C30" i="29" s="1"/>
  <c r="E29" i="29"/>
  <c r="D29" i="29" s="1"/>
  <c r="C29" i="29" s="1"/>
  <c r="E28" i="29"/>
  <c r="D28" i="29" s="1"/>
  <c r="C28" i="29" s="1"/>
  <c r="E27" i="29"/>
  <c r="D27" i="29" s="1"/>
  <c r="C27" i="29" s="1"/>
  <c r="E26" i="29"/>
  <c r="D26" i="29" s="1"/>
  <c r="C26" i="29" s="1"/>
  <c r="E25" i="29"/>
  <c r="D25" i="29" s="1"/>
  <c r="C25" i="29" s="1"/>
  <c r="E24" i="29"/>
  <c r="D24" i="29" s="1"/>
  <c r="C24" i="29" s="1"/>
  <c r="E23" i="29"/>
  <c r="D23" i="29" s="1"/>
  <c r="C23" i="29" s="1"/>
  <c r="E22" i="29"/>
  <c r="D22" i="29" s="1"/>
  <c r="C22" i="29" s="1"/>
  <c r="E21" i="29"/>
  <c r="D21" i="29" s="1"/>
  <c r="C21" i="29" s="1"/>
  <c r="E20" i="29"/>
  <c r="D20" i="29" s="1"/>
  <c r="C20" i="29" s="1"/>
  <c r="E19" i="29"/>
  <c r="D19" i="29" s="1"/>
  <c r="C19" i="29" s="1"/>
  <c r="E18" i="29"/>
  <c r="D18" i="29" s="1"/>
  <c r="C18" i="29" s="1"/>
  <c r="E17" i="29"/>
  <c r="D17" i="29" s="1"/>
  <c r="C17" i="29" s="1"/>
  <c r="E16" i="29"/>
  <c r="D16" i="29" s="1"/>
  <c r="C16" i="29" s="1"/>
  <c r="E15" i="29"/>
  <c r="D15" i="29" s="1"/>
  <c r="C15" i="29" s="1"/>
  <c r="E14" i="29"/>
  <c r="D14" i="29" s="1"/>
  <c r="C14" i="29" s="1"/>
  <c r="E13" i="29"/>
  <c r="D13" i="29" s="1"/>
  <c r="C13" i="29" s="1"/>
  <c r="E12" i="29"/>
  <c r="D12" i="29" s="1"/>
  <c r="C12" i="29" s="1"/>
  <c r="E11" i="29"/>
  <c r="D11" i="29" s="1"/>
  <c r="C11" i="29" s="1"/>
  <c r="E10" i="29"/>
  <c r="D10" i="29" s="1"/>
  <c r="C10" i="29" s="1"/>
  <c r="E9" i="29"/>
  <c r="D9" i="29" s="1"/>
  <c r="C9" i="29" s="1"/>
  <c r="E8" i="29"/>
  <c r="D8" i="29" s="1"/>
  <c r="C8" i="29" s="1"/>
  <c r="E7" i="29"/>
  <c r="D7" i="29" s="1"/>
  <c r="C7" i="29" s="1"/>
  <c r="E6" i="29"/>
  <c r="D6" i="29" s="1"/>
  <c r="C6" i="29" s="1"/>
  <c r="E5" i="29"/>
  <c r="D5" i="29" s="1"/>
  <c r="C5" i="29" s="1"/>
  <c r="E4" i="29"/>
  <c r="D4" i="29" s="1"/>
  <c r="C4" i="29" s="1"/>
  <c r="E3" i="29"/>
  <c r="D3" i="29" s="1"/>
  <c r="C3" i="29" s="1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D30" i="9" l="1"/>
  <c r="R30" i="9" s="1"/>
  <c r="D25" i="9"/>
  <c r="R25" i="9" s="1"/>
  <c r="D21" i="9"/>
  <c r="R21" i="9" s="1"/>
  <c r="D17" i="9"/>
  <c r="R17" i="9" s="1"/>
  <c r="D13" i="9"/>
  <c r="R13" i="9" s="1"/>
  <c r="D9" i="9"/>
  <c r="R9" i="9" s="1"/>
  <c r="D5" i="9"/>
  <c r="R5" i="9" s="1"/>
  <c r="D29" i="9"/>
  <c r="R29" i="9" s="1"/>
  <c r="D24" i="9"/>
  <c r="R24" i="9" s="1"/>
  <c r="D20" i="9"/>
  <c r="R20" i="9" s="1"/>
  <c r="D16" i="9"/>
  <c r="R16" i="9" s="1"/>
  <c r="D12" i="9"/>
  <c r="R12" i="9" s="1"/>
  <c r="D8" i="9"/>
  <c r="R8" i="9" s="1"/>
  <c r="D4" i="9"/>
  <c r="R4" i="9" s="1"/>
  <c r="D28" i="9"/>
  <c r="R28" i="9" s="1"/>
  <c r="D23" i="9"/>
  <c r="R23" i="9" s="1"/>
  <c r="D19" i="9"/>
  <c r="R19" i="9" s="1"/>
  <c r="D15" i="9"/>
  <c r="R15" i="9" s="1"/>
  <c r="D11" i="9"/>
  <c r="R11" i="9" s="1"/>
  <c r="D7" i="9"/>
  <c r="R7" i="9" s="1"/>
  <c r="D26" i="9"/>
  <c r="R26" i="9" s="1"/>
  <c r="D22" i="9"/>
  <c r="R22" i="9" s="1"/>
  <c r="D18" i="9"/>
  <c r="R18" i="9" s="1"/>
  <c r="D14" i="9"/>
  <c r="R14" i="9" s="1"/>
  <c r="D10" i="9"/>
  <c r="R10" i="9" s="1"/>
  <c r="D6" i="9"/>
  <c r="R6" i="9" s="1"/>
  <c r="F30" i="9"/>
  <c r="B30" i="9"/>
  <c r="N30" i="9" s="1"/>
  <c r="F25" i="9"/>
  <c r="B25" i="9"/>
  <c r="N25" i="9" s="1"/>
  <c r="F21" i="9"/>
  <c r="B21" i="9"/>
  <c r="N21" i="9" s="1"/>
  <c r="F17" i="9"/>
  <c r="B17" i="9"/>
  <c r="N17" i="9" s="1"/>
  <c r="F13" i="9"/>
  <c r="B13" i="9"/>
  <c r="N13" i="9" s="1"/>
  <c r="F9" i="9"/>
  <c r="B9" i="9"/>
  <c r="N9" i="9" s="1"/>
  <c r="F5" i="9"/>
  <c r="B5" i="9"/>
  <c r="N5" i="9" s="1"/>
  <c r="F29" i="9"/>
  <c r="B29" i="9"/>
  <c r="N29" i="9" s="1"/>
  <c r="F24" i="9"/>
  <c r="B24" i="9"/>
  <c r="N24" i="9" s="1"/>
  <c r="F20" i="9"/>
  <c r="B20" i="9"/>
  <c r="N20" i="9" s="1"/>
  <c r="F16" i="9"/>
  <c r="B16" i="9"/>
  <c r="N16" i="9" s="1"/>
  <c r="F12" i="9"/>
  <c r="B12" i="9"/>
  <c r="N12" i="9" s="1"/>
  <c r="F8" i="9"/>
  <c r="B8" i="9"/>
  <c r="N8" i="9" s="1"/>
  <c r="F4" i="9"/>
  <c r="B4" i="9"/>
  <c r="N4" i="9" s="1"/>
  <c r="F28" i="9"/>
  <c r="B28" i="9"/>
  <c r="N28" i="9" s="1"/>
  <c r="F23" i="9"/>
  <c r="B23" i="9"/>
  <c r="N23" i="9" s="1"/>
  <c r="F19" i="9"/>
  <c r="B19" i="9"/>
  <c r="N19" i="9" s="1"/>
  <c r="F15" i="9"/>
  <c r="B15" i="9"/>
  <c r="N15" i="9" s="1"/>
  <c r="F11" i="9"/>
  <c r="B11" i="9"/>
  <c r="N11" i="9" s="1"/>
  <c r="F7" i="9"/>
  <c r="B7" i="9"/>
  <c r="N7" i="9" s="1"/>
  <c r="F26" i="9"/>
  <c r="B26" i="9"/>
  <c r="F22" i="9"/>
  <c r="B22" i="9"/>
  <c r="N22" i="9" s="1"/>
  <c r="F18" i="9"/>
  <c r="B18" i="9"/>
  <c r="N18" i="9" s="1"/>
  <c r="F14" i="9"/>
  <c r="B14" i="9"/>
  <c r="N14" i="9" s="1"/>
  <c r="F10" i="9"/>
  <c r="B10" i="9"/>
  <c r="N10" i="9" s="1"/>
  <c r="F6" i="9"/>
  <c r="B6" i="9"/>
  <c r="N6" i="9" s="1"/>
  <c r="B32" i="9" l="1"/>
  <c r="B34" i="9"/>
  <c r="B36" i="9" s="1"/>
</calcChain>
</file>

<file path=xl/sharedStrings.xml><?xml version="1.0" encoding="utf-8"?>
<sst xmlns="http://schemas.openxmlformats.org/spreadsheetml/2006/main" count="7281" uniqueCount="956">
  <si>
    <t>N</t>
  </si>
  <si>
    <t>U</t>
  </si>
  <si>
    <t>P</t>
  </si>
  <si>
    <t>A</t>
  </si>
  <si>
    <t xml:space="preserve">  SELECT</t>
  </si>
  <si>
    <t xml:space="preserve">  WHERE</t>
  </si>
  <si>
    <t xml:space="preserve">  ;</t>
  </si>
  <si>
    <t>quit;</t>
  </si>
  <si>
    <t xml:space="preserve">  GROUP BY</t>
  </si>
  <si>
    <t>CAC</t>
  </si>
  <si>
    <t>ResCat</t>
  </si>
  <si>
    <t>D71</t>
  </si>
  <si>
    <t>AGDMHC</t>
  </si>
  <si>
    <t>D72</t>
  </si>
  <si>
    <t>D76</t>
  </si>
  <si>
    <t>D81</t>
  </si>
  <si>
    <t>D82</t>
  </si>
  <si>
    <t>D91</t>
  </si>
  <si>
    <t>D92</t>
  </si>
  <si>
    <t>D93</t>
  </si>
  <si>
    <t>D94</t>
  </si>
  <si>
    <t>D96</t>
  </si>
  <si>
    <t>D97</t>
  </si>
  <si>
    <t>D98</t>
  </si>
  <si>
    <t>D99</t>
  </si>
  <si>
    <t>E72</t>
  </si>
  <si>
    <t>E82</t>
  </si>
  <si>
    <t>E92</t>
  </si>
  <si>
    <t>E61</t>
  </si>
  <si>
    <t>E75</t>
  </si>
  <si>
    <t>D11</t>
  </si>
  <si>
    <t>D21</t>
  </si>
  <si>
    <t>D51</t>
  </si>
  <si>
    <t>D52</t>
  </si>
  <si>
    <t>D55</t>
  </si>
  <si>
    <t>D85</t>
  </si>
  <si>
    <t>D00</t>
  </si>
  <si>
    <t>C95</t>
  </si>
  <si>
    <t>DOIIFP</t>
  </si>
  <si>
    <t>C85</t>
  </si>
  <si>
    <t>C99</t>
  </si>
  <si>
    <t>C84</t>
  </si>
  <si>
    <t>C86</t>
  </si>
  <si>
    <t>C73</t>
  </si>
  <si>
    <t>DOILG</t>
  </si>
  <si>
    <t>C74</t>
  </si>
  <si>
    <t>C75</t>
  </si>
  <si>
    <t>C76</t>
  </si>
  <si>
    <t>C77</t>
  </si>
  <si>
    <t>C93</t>
  </si>
  <si>
    <t>C96</t>
  </si>
  <si>
    <t>C94</t>
  </si>
  <si>
    <t>DOISG</t>
  </si>
  <si>
    <t>F14</t>
  </si>
  <si>
    <t>GOVTALL</t>
  </si>
  <si>
    <t>F17</t>
  </si>
  <si>
    <t>F54</t>
  </si>
  <si>
    <t>F92</t>
  </si>
  <si>
    <t>K21</t>
  </si>
  <si>
    <t>HMFLEX</t>
  </si>
  <si>
    <t>K22</t>
  </si>
  <si>
    <t>K23</t>
  </si>
  <si>
    <t>K24</t>
  </si>
  <si>
    <t>K25</t>
  </si>
  <si>
    <t>K42</t>
  </si>
  <si>
    <t>K53</t>
  </si>
  <si>
    <t>K54</t>
  </si>
  <si>
    <t>K56</t>
  </si>
  <si>
    <t>L21</t>
  </si>
  <si>
    <t>L22</t>
  </si>
  <si>
    <t>L91</t>
  </si>
  <si>
    <t>N21</t>
  </si>
  <si>
    <t>N22</t>
  </si>
  <si>
    <t>N23</t>
  </si>
  <si>
    <t>N24</t>
  </si>
  <si>
    <t>N56</t>
  </si>
  <si>
    <t>C83</t>
  </si>
  <si>
    <t>F11</t>
  </si>
  <si>
    <t>HMOFEP</t>
  </si>
  <si>
    <t>F26</t>
  </si>
  <si>
    <t>F27</t>
  </si>
  <si>
    <t>V11</t>
  </si>
  <si>
    <t>HMOIFP</t>
  </si>
  <si>
    <t>V12</t>
  </si>
  <si>
    <t>V13</t>
  </si>
  <si>
    <t>V14</t>
  </si>
  <si>
    <t>A15</t>
  </si>
  <si>
    <t>HMOLG</t>
  </si>
  <si>
    <t>B12</t>
  </si>
  <si>
    <t>L11</t>
  </si>
  <si>
    <t>L12</t>
  </si>
  <si>
    <t>L13</t>
  </si>
  <si>
    <t>L14</t>
  </si>
  <si>
    <t>L15</t>
  </si>
  <si>
    <t>L16</t>
  </si>
  <si>
    <t>L17</t>
  </si>
  <si>
    <t>L19</t>
  </si>
  <si>
    <t>N11</t>
  </si>
  <si>
    <t>N13</t>
  </si>
  <si>
    <t>N17</t>
  </si>
  <si>
    <t>N18</t>
  </si>
  <si>
    <t>N19</t>
  </si>
  <si>
    <t>R18</t>
  </si>
  <si>
    <t>HMOMG</t>
  </si>
  <si>
    <t>R19</t>
  </si>
  <si>
    <t>R20</t>
  </si>
  <si>
    <t>R21</t>
  </si>
  <si>
    <t>R22</t>
  </si>
  <si>
    <t>R25</t>
  </si>
  <si>
    <t>R11</t>
  </si>
  <si>
    <t>HMOMM</t>
  </si>
  <si>
    <t>R12</t>
  </si>
  <si>
    <t>R13</t>
  </si>
  <si>
    <t>R14</t>
  </si>
  <si>
    <t>R15</t>
  </si>
  <si>
    <t>R16</t>
  </si>
  <si>
    <t>F12</t>
  </si>
  <si>
    <t>HMOPERA</t>
  </si>
  <si>
    <t>F53</t>
  </si>
  <si>
    <t>P12</t>
  </si>
  <si>
    <t>P53</t>
  </si>
  <si>
    <t>F23</t>
  </si>
  <si>
    <t>HMOPERN</t>
  </si>
  <si>
    <t>P23</t>
  </si>
  <si>
    <t>F20</t>
  </si>
  <si>
    <t>HMOPMR</t>
  </si>
  <si>
    <t>F22</t>
  </si>
  <si>
    <t>N15</t>
  </si>
  <si>
    <t>N16</t>
  </si>
  <si>
    <t>K11</t>
  </si>
  <si>
    <t>K12</t>
  </si>
  <si>
    <t>K14</t>
  </si>
  <si>
    <t>K15</t>
  </si>
  <si>
    <t>N14</t>
  </si>
  <si>
    <t>N20</t>
  </si>
  <si>
    <t>A13</t>
  </si>
  <si>
    <t>HMOSG</t>
  </si>
  <si>
    <t>B11</t>
  </si>
  <si>
    <t>S11</t>
  </si>
  <si>
    <t>S12</t>
  </si>
  <si>
    <t>S13</t>
  </si>
  <si>
    <t>S14</t>
  </si>
  <si>
    <t>N12</t>
  </si>
  <si>
    <t>NATPAR</t>
  </si>
  <si>
    <t>N52</t>
  </si>
  <si>
    <t>N54</t>
  </si>
  <si>
    <t>R17</t>
  </si>
  <si>
    <t>PERMAPD</t>
  </si>
  <si>
    <t>R24</t>
  </si>
  <si>
    <t>F13</t>
  </si>
  <si>
    <t>PERMEDA</t>
  </si>
  <si>
    <t>F58</t>
  </si>
  <si>
    <t>P13</t>
  </si>
  <si>
    <t>P58</t>
  </si>
  <si>
    <t>F28</t>
  </si>
  <si>
    <t>PERMEDN</t>
  </si>
  <si>
    <t>P28</t>
  </si>
  <si>
    <t>F30</t>
  </si>
  <si>
    <t>PPOFEP</t>
  </si>
  <si>
    <t>F31</t>
  </si>
  <si>
    <t>F51</t>
  </si>
  <si>
    <t>F91</t>
  </si>
  <si>
    <t>M51</t>
  </si>
  <si>
    <t>PPOIFP</t>
  </si>
  <si>
    <t>M52</t>
  </si>
  <si>
    <t>V31</t>
  </si>
  <si>
    <t>V51</t>
  </si>
  <si>
    <t>V52</t>
  </si>
  <si>
    <t>V53</t>
  </si>
  <si>
    <t>V54</t>
  </si>
  <si>
    <t>V55</t>
  </si>
  <si>
    <t>L31</t>
  </si>
  <si>
    <t>PPOLG</t>
  </si>
  <si>
    <t>L32</t>
  </si>
  <si>
    <t>L51</t>
  </si>
  <si>
    <t>L52</t>
  </si>
  <si>
    <t>L56</t>
  </si>
  <si>
    <t>L55</t>
  </si>
  <si>
    <t>L57</t>
  </si>
  <si>
    <t>L61</t>
  </si>
  <si>
    <t>L62</t>
  </si>
  <si>
    <t>L71</t>
  </si>
  <si>
    <t>N51</t>
  </si>
  <si>
    <t>N59</t>
  </si>
  <si>
    <t>N71</t>
  </si>
  <si>
    <t>C97</t>
  </si>
  <si>
    <t>PPOMM</t>
  </si>
  <si>
    <t>M61</t>
  </si>
  <si>
    <t>M71</t>
  </si>
  <si>
    <t>M73</t>
  </si>
  <si>
    <t>M74</t>
  </si>
  <si>
    <t>M76</t>
  </si>
  <si>
    <t>M77</t>
  </si>
  <si>
    <t>M78</t>
  </si>
  <si>
    <t>M91</t>
  </si>
  <si>
    <t>M92</t>
  </si>
  <si>
    <t>V91</t>
  </si>
  <si>
    <t>F61</t>
  </si>
  <si>
    <t>PPOPMR</t>
  </si>
  <si>
    <t>N61</t>
  </si>
  <si>
    <t>K51</t>
  </si>
  <si>
    <t>K55</t>
  </si>
  <si>
    <t>K57</t>
  </si>
  <si>
    <t>N55</t>
  </si>
  <si>
    <t>N57</t>
  </si>
  <si>
    <t>F56</t>
  </si>
  <si>
    <t>PPOSG</t>
  </si>
  <si>
    <t>S31</t>
  </si>
  <si>
    <t>S51</t>
  </si>
  <si>
    <t>S71</t>
  </si>
  <si>
    <t>A33</t>
  </si>
  <si>
    <t>S54</t>
  </si>
  <si>
    <t>S56</t>
  </si>
  <si>
    <t>H13</t>
  </si>
  <si>
    <t>CAME</t>
  </si>
  <si>
    <t>H15</t>
  </si>
  <si>
    <t>LADL</t>
  </si>
  <si>
    <t>H11</t>
  </si>
  <si>
    <t>LAMD</t>
  </si>
  <si>
    <t>H16</t>
  </si>
  <si>
    <t>SDDL</t>
  </si>
  <si>
    <t>H12</t>
  </si>
  <si>
    <t>SDMD</t>
  </si>
  <si>
    <t>A35</t>
  </si>
  <si>
    <t>C38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</si>
  <si>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</si>
  <si>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</si>
  <si>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</si>
  <si>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</si>
  <si>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</si>
  <si>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</si>
  <si>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</si>
  <si>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</si>
  <si>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</si>
  <si>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C51</t>
  </si>
  <si>
    <t>C52</t>
  </si>
  <si>
    <t>C53</t>
  </si>
  <si>
    <t>C54</t>
  </si>
  <si>
    <t>C55</t>
  </si>
  <si>
    <t>C57</t>
  </si>
  <si>
    <t>C61</t>
  </si>
  <si>
    <t>C63</t>
  </si>
  <si>
    <t>C64</t>
  </si>
  <si>
    <t>C65</t>
  </si>
  <si>
    <t>C66</t>
  </si>
  <si>
    <t>C67</t>
  </si>
  <si>
    <t>C72</t>
  </si>
  <si>
    <t>C81</t>
  </si>
  <si>
    <t>C91</t>
  </si>
  <si>
    <t>C92</t>
  </si>
  <si>
    <t>C98</t>
  </si>
  <si>
    <t>D75</t>
  </si>
  <si>
    <t>D95</t>
  </si>
  <si>
    <t>E91</t>
  </si>
  <si>
    <t>F18</t>
  </si>
  <si>
    <t>F19</t>
  </si>
  <si>
    <t>F32</t>
  </si>
  <si>
    <t>F41</t>
  </si>
  <si>
    <t>F52</t>
  </si>
  <si>
    <t>F55</t>
  </si>
  <si>
    <t>K41</t>
  </si>
  <si>
    <t>L41</t>
  </si>
  <si>
    <t>L42</t>
  </si>
  <si>
    <t>L43</t>
  </si>
  <si>
    <t>L44</t>
  </si>
  <si>
    <t>L45</t>
  </si>
  <si>
    <t>L46</t>
  </si>
  <si>
    <t>L49</t>
  </si>
  <si>
    <t>L59</t>
  </si>
  <si>
    <t>M41</t>
  </si>
  <si>
    <t>M72</t>
  </si>
  <si>
    <t>M75</t>
  </si>
  <si>
    <t>N32</t>
  </si>
  <si>
    <t>N34</t>
  </si>
  <si>
    <t>N41</t>
  </si>
  <si>
    <t>N42</t>
  </si>
  <si>
    <t>N43</t>
  </si>
  <si>
    <t>N44</t>
  </si>
  <si>
    <t>N45</t>
  </si>
  <si>
    <t>N46</t>
  </si>
  <si>
    <t>N53</t>
  </si>
  <si>
    <t>N91</t>
  </si>
  <si>
    <t>R23</t>
  </si>
  <si>
    <t>T11</t>
  </si>
  <si>
    <t>T12</t>
  </si>
  <si>
    <t>UNA</t>
  </si>
  <si>
    <t>U95</t>
  </si>
  <si>
    <t>U96</t>
  </si>
  <si>
    <t>XXX</t>
  </si>
  <si>
    <t>T24 Reserve Model 201708.xlsb</t>
  </si>
  <si>
    <t>00</t>
  </si>
  <si>
    <t>03</t>
  </si>
  <si>
    <t>01</t>
  </si>
  <si>
    <t>02</t>
  </si>
  <si>
    <t>S</t>
  </si>
  <si>
    <t>D</t>
  </si>
  <si>
    <t>DXX</t>
  </si>
  <si>
    <t>V</t>
  </si>
  <si>
    <t>R</t>
  </si>
  <si>
    <t>summary</t>
  </si>
  <si>
    <t>raw</t>
  </si>
  <si>
    <t>check</t>
  </si>
  <si>
    <t>*Source Code Definitions:                                               ;</t>
  </si>
  <si>
    <t>*UC     TPSU Claims - No MEDCO                                          ;</t>
  </si>
  <si>
    <t>*MC     TPSU - MEDCO Claims ONLY        excluded, ARGUS drugs           ;</t>
  </si>
  <si>
    <t>*NC     NASCO Claims                                                    ;</t>
  </si>
  <si>
    <t>*AC     NASCO Medco claims,             excluded, ARGUS drugs           ;</t>
  </si>
  <si>
    <t>*UP     TPSU Pended                                                     ;</t>
  </si>
  <si>
    <t>*NP     NASCO Pended                                                    ;</t>
  </si>
  <si>
    <t>*FC     Foundation Claims                                               ;</t>
  </si>
  <si>
    <t>*IC     IPDR Interplan Claims                                           ;</t>
  </si>
  <si>
    <t>*TA     Capitation and Allocation                                       ;</t>
  </si>
  <si>
    <t>*TC     Trizetto Facets claims                                          ;</t>
  </si>
  <si>
    <t>*EC     MES Only                        excluded, Vision                ;</t>
  </si>
  <si>
    <t>*DC     DPA                             excluded, ARGUS drugs           ;</t>
  </si>
  <si>
    <t>*GC     Dental (New)                    excluded, Dental                ;</t>
  </si>
  <si>
    <t>*JC     Dental (DOI only)               excluded, Dental                ;</t>
  </si>
  <si>
    <t>*HC     HSA ARGUS claims                                                ;</t>
  </si>
  <si>
    <t>*RC     Medicare Risk Drugs (Argus)     excluded, ARGUS drugs           ;</t>
  </si>
  <si>
    <t xml:space="preserve">*FA     Facets Capitation  </t>
  </si>
  <si>
    <t>ARGUS</t>
  </si>
  <si>
    <t>in ('EC')</t>
  </si>
  <si>
    <t>in ('GC','JC')</t>
  </si>
  <si>
    <t>FACETS</t>
  </si>
  <si>
    <t>in ('TC')</t>
  </si>
  <si>
    <t>VISION</t>
  </si>
  <si>
    <t>DENTAL</t>
  </si>
  <si>
    <t>in ('MC','AC','DC','RC','CC','HC')</t>
  </si>
  <si>
    <t>7</t>
  </si>
  <si>
    <t>1000</t>
  </si>
  <si>
    <t>8</t>
  </si>
  <si>
    <t>3</t>
  </si>
  <si>
    <t>5</t>
  </si>
  <si>
    <t>2</t>
  </si>
  <si>
    <t>4</t>
  </si>
  <si>
    <t>1009</t>
  </si>
  <si>
    <t>C32</t>
  </si>
  <si>
    <t>M</t>
  </si>
  <si>
    <t>1001</t>
  </si>
  <si>
    <t>FROM Reserve_Table</t>
  </si>
  <si>
    <t>proc sql noprint;</t>
  </si>
  <si>
    <t xml:space="preserve">  connect to netezza as mytezza</t>
  </si>
  <si>
    <t xml:space="preserve">  (server = "uedh008p"</t>
  </si>
  <si>
    <t xml:space="preserve">   database = "BISDMT_DAL_PHI_P1"</t>
  </si>
  <si>
    <t xml:space="preserve">   AuthDomain = "AD_Dom_Auth"</t>
  </si>
  <si>
    <t xml:space="preserve">   );</t>
  </si>
  <si>
    <t xml:space="preserve">  create table MDF as</t>
  </si>
  <si>
    <t xml:space="preserve">  FROM connection to mytezza</t>
  </si>
  <si>
    <t xml:space="preserve">   , cad.MKT_SEG_CD</t>
  </si>
  <si>
    <t xml:space="preserve">   , cad.PLN_TYP_CD</t>
  </si>
  <si>
    <t xml:space="preserve">   , mdf.DENT_MO_QTY</t>
  </si>
  <si>
    <t xml:space="preserve">   , mdf.PHARM_MO_QTY</t>
  </si>
  <si>
    <t xml:space="preserve">   , mdf.VISN_MO_QTY</t>
  </si>
  <si>
    <t xml:space="preserve">   , mdf.LF_MO_QTY</t>
  </si>
  <si>
    <t xml:space="preserve">  FROM</t>
  </si>
  <si>
    <t xml:space="preserve">    MEMBERSHIP_DETAIL_FACT       mdf</t>
  </si>
  <si>
    <t xml:space="preserve">  )</t>
  </si>
  <si>
    <t xml:space="preserve">  disconnect from mytezza;</t>
  </si>
  <si>
    <t xml:space="preserve">     cad.BUS_CATEG_CD</t>
  </si>
  <si>
    <t xml:space="preserve">   , SUM(DENT_MO_QTY) as DEN_MEMB</t>
  </si>
  <si>
    <t xml:space="preserve">   , SUM(VISN_MO_QTY) as VIS_MEMB</t>
  </si>
  <si>
    <t xml:space="preserve">   , SUM(LF_MO_QTY) as LIF_MEMB</t>
  </si>
  <si>
    <t xml:space="preserve"> (</t>
  </si>
  <si>
    <t xml:space="preserve"> SELECT</t>
  </si>
  <si>
    <t xml:space="preserve">     BUS_CATEG_CD</t>
  </si>
  <si>
    <t xml:space="preserve">   , MKT_SEG_CD</t>
  </si>
  <si>
    <t xml:space="preserve">   , PLN_TYP_CD</t>
  </si>
  <si>
    <t>BUS_CATEG_CD</t>
  </si>
  <si>
    <t>MKT_SEG_CD</t>
  </si>
  <si>
    <t>PLN_TYP_CD</t>
  </si>
  <si>
    <t>MED_MEMB</t>
  </si>
  <si>
    <t>DEN_MEMB</t>
  </si>
  <si>
    <t>PHA_MEMB</t>
  </si>
  <si>
    <t>VIS_MEMB</t>
  </si>
  <si>
    <t>LIF_MEMB</t>
  </si>
  <si>
    <t>0003</t>
  </si>
  <si>
    <t>0012</t>
  </si>
  <si>
    <t>0021</t>
  </si>
  <si>
    <t>0022</t>
  </si>
  <si>
    <t>0065</t>
  </si>
  <si>
    <t>1002</t>
  </si>
  <si>
    <t>1003</t>
  </si>
  <si>
    <t>1004</t>
  </si>
  <si>
    <t>0047</t>
  </si>
  <si>
    <t>0057</t>
  </si>
  <si>
    <t>1005</t>
  </si>
  <si>
    <t>1006</t>
  </si>
  <si>
    <t>0011</t>
  </si>
  <si>
    <t>0023</t>
  </si>
  <si>
    <t>1010</t>
  </si>
  <si>
    <t>0017</t>
  </si>
  <si>
    <t>0024</t>
  </si>
  <si>
    <t>1012</t>
  </si>
  <si>
    <t>1013</t>
  </si>
  <si>
    <t>0048</t>
  </si>
  <si>
    <t>0008</t>
  </si>
  <si>
    <t>0038</t>
  </si>
  <si>
    <t>0020</t>
  </si>
  <si>
    <t>1008</t>
  </si>
  <si>
    <t>0037</t>
  </si>
  <si>
    <t>0056</t>
  </si>
  <si>
    <t>1014</t>
  </si>
  <si>
    <t>0013</t>
  </si>
  <si>
    <t>0035</t>
  </si>
  <si>
    <t>0016</t>
  </si>
  <si>
    <t>0064</t>
  </si>
  <si>
    <t>0019</t>
  </si>
  <si>
    <t>0031</t>
  </si>
  <si>
    <t>0036</t>
  </si>
  <si>
    <t>0025</t>
  </si>
  <si>
    <t>0058</t>
  </si>
  <si>
    <t>0026</t>
  </si>
  <si>
    <t>0027</t>
  </si>
  <si>
    <t>0028</t>
  </si>
  <si>
    <t>0030</t>
  </si>
  <si>
    <t>CAC_CODE</t>
  </si>
  <si>
    <t>MCTR_BCAT</t>
  </si>
  <si>
    <t>MCTR_CTYP</t>
  </si>
  <si>
    <t>MCTR_VAL1</t>
  </si>
  <si>
    <t>ROW_CNT</t>
  </si>
  <si>
    <t>USE_AS_DEFAULT</t>
  </si>
  <si>
    <t>082</t>
  </si>
  <si>
    <t>Legacy GemCare</t>
  </si>
  <si>
    <t>0095</t>
  </si>
  <si>
    <t>9000</t>
  </si>
  <si>
    <t>Admin Default</t>
  </si>
  <si>
    <t>0105</t>
  </si>
  <si>
    <t>Non-Facets Default</t>
  </si>
  <si>
    <t>1</t>
  </si>
  <si>
    <t>Y</t>
  </si>
  <si>
    <t>091</t>
  </si>
  <si>
    <t>0096</t>
  </si>
  <si>
    <t>Integration Costs</t>
  </si>
  <si>
    <t>098</t>
  </si>
  <si>
    <t>Capital Plan Allocation</t>
  </si>
  <si>
    <t>0097</t>
  </si>
  <si>
    <t>099</t>
  </si>
  <si>
    <t>Direct Charges To Be Assigned</t>
  </si>
  <si>
    <t>0098</t>
  </si>
  <si>
    <t>BAJA DMHC HMO SMALL</t>
  </si>
  <si>
    <t>DMHC HMO</t>
  </si>
  <si>
    <t>Small</t>
  </si>
  <si>
    <t>ACCESS BAJA</t>
  </si>
  <si>
    <t>BAJA DMHC HMO LARGE</t>
  </si>
  <si>
    <t>Large</t>
  </si>
  <si>
    <t>C21</t>
  </si>
  <si>
    <t>BSCL GROUP DOI LIFE SMALL</t>
  </si>
  <si>
    <t>0007</t>
  </si>
  <si>
    <t>DOI LIFE</t>
  </si>
  <si>
    <t>LIFE GROUP</t>
  </si>
  <si>
    <t>C22</t>
  </si>
  <si>
    <t>BSCL AD&amp;D SMALLL/REG</t>
  </si>
  <si>
    <t>0005</t>
  </si>
  <si>
    <t>DOI AD&amp;D</t>
  </si>
  <si>
    <t>0001</t>
  </si>
  <si>
    <t>AD&amp;D</t>
  </si>
  <si>
    <t>C28</t>
  </si>
  <si>
    <t>BSCL VISION SMALL</t>
  </si>
  <si>
    <t>0009</t>
  </si>
  <si>
    <t>DOI VISION</t>
  </si>
  <si>
    <t>0014</t>
  </si>
  <si>
    <t>VISION ONLY</t>
  </si>
  <si>
    <t>C31</t>
  </si>
  <si>
    <t>BSCL DOI LIFE ONLY SMALL</t>
  </si>
  <si>
    <t>0018</t>
  </si>
  <si>
    <t>LIFE ONLY</t>
  </si>
  <si>
    <t>BSCL DOI LIFE ONLY MID/LARGE &amp; LPS</t>
  </si>
  <si>
    <t>Labor &amp; Trust</t>
  </si>
  <si>
    <t>Labor &amp; Trust National</t>
  </si>
  <si>
    <t>Large National</t>
  </si>
  <si>
    <t>Midsize</t>
  </si>
  <si>
    <t>Strategic Account</t>
  </si>
  <si>
    <t>Strategic National</t>
  </si>
  <si>
    <t>C34</t>
  </si>
  <si>
    <t>BSC MES VISION ASO LPS</t>
  </si>
  <si>
    <t>DOI STOPLOSS</t>
  </si>
  <si>
    <t>0061</t>
  </si>
  <si>
    <t>STOP LOSS</t>
  </si>
  <si>
    <t>C35</t>
  </si>
  <si>
    <t>BSCL AF SOLUTION MID MARKET</t>
  </si>
  <si>
    <t>0034</t>
  </si>
  <si>
    <t>AF STOP LOSS</t>
  </si>
  <si>
    <t>C36</t>
  </si>
  <si>
    <t>BSC HOUSE LIFE</t>
  </si>
  <si>
    <t>BSC Employee Group</t>
  </si>
  <si>
    <t>C37</t>
  </si>
  <si>
    <t>BSC HOUSE AD&amp;d</t>
  </si>
  <si>
    <t>BSCL GROUP DOI LIFE MID/LARGE/LPS</t>
  </si>
  <si>
    <t>BSCL AD&amp;D MID/LARGE/LPS</t>
  </si>
  <si>
    <t>IFP</t>
  </si>
  <si>
    <t>BSCL INDIVIDUAL TERM DOI LIFE</t>
  </si>
  <si>
    <t>0006</t>
  </si>
  <si>
    <t>INDIVIDUAL TERM LIFE</t>
  </si>
  <si>
    <t>0090</t>
  </si>
  <si>
    <t>BSCL Misc Products</t>
  </si>
  <si>
    <t>0104</t>
  </si>
  <si>
    <t>Individual whole Life</t>
  </si>
  <si>
    <t>BSCL STOP LOSS MID/LARGE</t>
  </si>
  <si>
    <t>BSCLVISION IFP</t>
  </si>
  <si>
    <t>0100</t>
  </si>
  <si>
    <t>Long Term Care</t>
  </si>
  <si>
    <t>0101</t>
  </si>
  <si>
    <t>Hospital Cash Plan</t>
  </si>
  <si>
    <t>0102</t>
  </si>
  <si>
    <t>Supp Hospital Protection Plan</t>
  </si>
  <si>
    <t>BSCL VISION MID/LARGE</t>
  </si>
  <si>
    <t>BSCLVISION LPS</t>
  </si>
  <si>
    <t>CALIC GROUP DOI LIFE</t>
  </si>
  <si>
    <t>0092</t>
  </si>
  <si>
    <t>CALIC Life</t>
  </si>
  <si>
    <t>0108</t>
  </si>
  <si>
    <t>CALIC LIFE GROUP</t>
  </si>
  <si>
    <t>CALIC AD&amp;D</t>
  </si>
  <si>
    <t>0091</t>
  </si>
  <si>
    <t>0106</t>
  </si>
  <si>
    <t>CALIC Misc Products</t>
  </si>
  <si>
    <t>0103</t>
  </si>
  <si>
    <t>MedSupp Directors</t>
  </si>
  <si>
    <t>0107</t>
  </si>
  <si>
    <t>CALIC INDIVIDUAL TERM LIFE</t>
  </si>
  <si>
    <t>BSCL ESSENT IFP EMBEDDED DENTAL</t>
  </si>
  <si>
    <t>DOI DPPO</t>
  </si>
  <si>
    <t>0002</t>
  </si>
  <si>
    <t>DENTAL ESSENTIAL</t>
  </si>
  <si>
    <t>C62</t>
  </si>
  <si>
    <t>BSCL ESSENT IFP EMBEDDED VISION</t>
  </si>
  <si>
    <t>VISION ESSENTIAL</t>
  </si>
  <si>
    <t>BSCL DENTAL ONLY VALUE SMILE AND SMILE PLUS</t>
  </si>
  <si>
    <t>0004</t>
  </si>
  <si>
    <t>DENTAL ONLY</t>
  </si>
  <si>
    <t>Senior</t>
  </si>
  <si>
    <t>BSCL SMILESM INO DENTAL PPO MID/LARGE</t>
  </si>
  <si>
    <t>DENTAL PPO</t>
  </si>
  <si>
    <t>BSCL SMILESM INO DENTAL PPO SMALL GROUP</t>
  </si>
  <si>
    <t>IFP DENTAL PEDIATRIC OFF EXCHANGE CDI</t>
  </si>
  <si>
    <t>PEDIATRIC DENTAL CDI</t>
  </si>
  <si>
    <t>MEDSUPP DENTAL DUO</t>
  </si>
  <si>
    <t>MED SUPP</t>
  </si>
  <si>
    <t>C68</t>
  </si>
  <si>
    <t>IFP VISION EXCHANGE/MIRROR CDI</t>
  </si>
  <si>
    <t>VISION EXCHANGE/MIRROR</t>
  </si>
  <si>
    <t>C69</t>
  </si>
  <si>
    <t>MEDSUPP VISION DUO</t>
  </si>
  <si>
    <t>DOI NATIONAL CONTROL U/W</t>
  </si>
  <si>
    <t>DOI PPO</t>
  </si>
  <si>
    <t>STANDARD</t>
  </si>
  <si>
    <t>DOI LTP U/W</t>
  </si>
  <si>
    <t>DOI STRATEGIC ACCOUNTS U/W</t>
  </si>
  <si>
    <t>DOI STRATEGIC ACCOUNTS NATIONAL U/W</t>
  </si>
  <si>
    <t>DLI LTP NATIONAL U/W</t>
  </si>
  <si>
    <t>IFP CDI NG ON EXCHANGE</t>
  </si>
  <si>
    <t>ON EXCHANGE NG</t>
  </si>
  <si>
    <t>IFP CDI NG OFF EXCHANGE</t>
  </si>
  <si>
    <t>OFF EXCHANGE NG</t>
  </si>
  <si>
    <t>LARGE GROUP DOI</t>
  </si>
  <si>
    <t>DOI SMALL</t>
  </si>
  <si>
    <t>BROKER GA</t>
  </si>
  <si>
    <t>DOI IFP</t>
  </si>
  <si>
    <t>MIDSIZE DOI</t>
  </si>
  <si>
    <t>DOI MEDSUPP</t>
  </si>
  <si>
    <t>DOI IFP GI</t>
  </si>
  <si>
    <t>GI</t>
  </si>
  <si>
    <t>IFP DENTAL PEDIATRIC ON/MIRROR DHMO</t>
  </si>
  <si>
    <t>DMHC DHMO</t>
  </si>
  <si>
    <t>PEDIATRIC DHMO</t>
  </si>
  <si>
    <t>IFP DENTAL SUPPLEMENTAL ON/MIRROR DHMO</t>
  </si>
  <si>
    <t>SUPPLEMENTAL DHMO</t>
  </si>
  <si>
    <t>IFP DENTAL PEDIACTRIC ON/MIRROR DPPO</t>
  </si>
  <si>
    <t>DMHC DPPO</t>
  </si>
  <si>
    <t>PEDIATRIC DPPO</t>
  </si>
  <si>
    <t>IFP DENTAL SUPPLEMENTAL ON/MIRROR DPPO</t>
  </si>
  <si>
    <t>0029</t>
  </si>
  <si>
    <t>SUPPLEMENTAL DPPO</t>
  </si>
  <si>
    <t>SMALL GROUP DENTAL PEDIACTRIC ON/MIRROR DPPO</t>
  </si>
  <si>
    <t>DENTAL HMO LPS</t>
  </si>
  <si>
    <t>DENTAL HMO</t>
  </si>
  <si>
    <t>DENTAL ASO LPS</t>
  </si>
  <si>
    <t>ASO DPPO</t>
  </si>
  <si>
    <t>0042</t>
  </si>
  <si>
    <t>DENTAL ASO</t>
  </si>
  <si>
    <t>DENTAL PPO BSC EMPLOYEE GROUP</t>
  </si>
  <si>
    <t>DENTAL HMO SMALL</t>
  </si>
  <si>
    <t>DENTAL PPO SMAILL</t>
  </si>
  <si>
    <t>IMAPD SUPPLEMENTAL DENTAL</t>
  </si>
  <si>
    <t>DENTAL HMO MID/LARGE/FEDERAL</t>
  </si>
  <si>
    <t>Federal</t>
  </si>
  <si>
    <t>DENTAL PPO MID/LARGE/FEDERAL</t>
  </si>
  <si>
    <t>DENTAL PPO ERC</t>
  </si>
  <si>
    <t>0043</t>
  </si>
  <si>
    <t>DENTAL ERC</t>
  </si>
  <si>
    <t>DENTAL ASO MID/LARGE</t>
  </si>
  <si>
    <t>DENTAL HMO IFP</t>
  </si>
  <si>
    <t>DENTAL PPO IFP</t>
  </si>
  <si>
    <t>DENTAL HMO ACCESS+</t>
  </si>
  <si>
    <t>0044</t>
  </si>
  <si>
    <t>DENTAL PPO MEDSUPP</t>
  </si>
  <si>
    <t>IFP VISION EXCHANGE/MIRROR DMHC</t>
  </si>
  <si>
    <t>DMHC VISION</t>
  </si>
  <si>
    <t>E65</t>
  </si>
  <si>
    <t>SMALL GROUP VISION EXCHANGE/MIRROR DMHC</t>
  </si>
  <si>
    <t>E71</t>
  </si>
  <si>
    <t>BSC MES Vision ASO LPS</t>
  </si>
  <si>
    <t>0015</t>
  </si>
  <si>
    <t>ASO VISION</t>
  </si>
  <si>
    <t>ASO</t>
  </si>
  <si>
    <t>PERS</t>
  </si>
  <si>
    <t>BSC HOUSE VISION</t>
  </si>
  <si>
    <t>VISION SMALL</t>
  </si>
  <si>
    <t>BSC MES VISION ASO MID/LARGE</t>
  </si>
  <si>
    <t>BSC MES VISION MID/LARGE</t>
  </si>
  <si>
    <t>E93</t>
  </si>
  <si>
    <t>FEHBP VISION</t>
  </si>
  <si>
    <t>0300</t>
  </si>
  <si>
    <t>CALPERS OLD</t>
  </si>
  <si>
    <t>LABOR &amp; TRUST DMHC HMO</t>
  </si>
  <si>
    <t>0052</t>
  </si>
  <si>
    <t>HIGH CO-INSURANCE</t>
  </si>
  <si>
    <t>SAVENET</t>
  </si>
  <si>
    <t>LABOR &amp; TRUST DMHC POS</t>
  </si>
  <si>
    <t>DMHC POS</t>
  </si>
  <si>
    <t>FEHBP HMO - SOUTH</t>
  </si>
  <si>
    <t>DMHC FEHBP</t>
  </si>
  <si>
    <t>FEP PPO Dental (Non-Facets)</t>
  </si>
  <si>
    <t>0093</t>
  </si>
  <si>
    <t>FEP PPO Vision (Non-Facets)</t>
  </si>
  <si>
    <t>0094</t>
  </si>
  <si>
    <t>LABOR &amp; TRUST ASO</t>
  </si>
  <si>
    <t>FEP PPO</t>
  </si>
  <si>
    <t>FEP DENTAL BASIC</t>
  </si>
  <si>
    <t>BASIC</t>
  </si>
  <si>
    <t>FEP PPO BASIC</t>
  </si>
  <si>
    <t>FEP Dental STD</t>
  </si>
  <si>
    <t>FEP PPO STD</t>
  </si>
  <si>
    <t>LABOR &amp; TRUST DMHC PPO</t>
  </si>
  <si>
    <t>DMHC PPO</t>
  </si>
  <si>
    <t>SAVINGS PLUS</t>
  </si>
  <si>
    <t>G11</t>
  </si>
  <si>
    <t>9001</t>
  </si>
  <si>
    <t>H99</t>
  </si>
  <si>
    <t>Holding Company</t>
  </si>
  <si>
    <t>0099</t>
  </si>
  <si>
    <t>1099</t>
  </si>
  <si>
    <t>Corporate</t>
  </si>
  <si>
    <t>0200</t>
  </si>
  <si>
    <t>Cumulus</t>
  </si>
  <si>
    <t>STRATEGIC ACCOUNTS DMHC HMO U/W</t>
  </si>
  <si>
    <t>STRATEGIC ACCOUNTS DMHC POS U/W</t>
  </si>
  <si>
    <t>BLUE GROOVE LPS HMO</t>
  </si>
  <si>
    <t>BLUE GROOVE</t>
  </si>
  <si>
    <t>BLUE GROOVE LPS POS</t>
  </si>
  <si>
    <t>STRATEGIC ACCOUNTS DMHC HMO FLEX FUNDED</t>
  </si>
  <si>
    <t>FLEX FUNDED</t>
  </si>
  <si>
    <t>STRATEGIC ACCOUNTS DMHC POS FLEX FUNDED</t>
  </si>
  <si>
    <t>STRATEGIC ACCOUNTS DMHC FLEX FUNDED BSC EMPL GROUP</t>
  </si>
  <si>
    <t>0039</t>
  </si>
  <si>
    <t>BLUE GROOVE FLEX FUNDED</t>
  </si>
  <si>
    <t>STRATEGIC ACCOUNTS ASO</t>
  </si>
  <si>
    <t>STRATEGIC ACCOUNTS ASO - BSC EMPLOYEE GP</t>
  </si>
  <si>
    <t>STRATEGIC ACCOUNTS DMHC PPO U/W</t>
  </si>
  <si>
    <t>BLUE GROOVE LPS PPO</t>
  </si>
  <si>
    <t>STRATEGIC ACCOUNTS DMHC FLEX FUNDED</t>
  </si>
  <si>
    <t>STRATEGIC ACCOUNTS DMHC PPO RETNETION</t>
  </si>
  <si>
    <t>ERC</t>
  </si>
  <si>
    <t>LARGE GROUP DMHC HMO</t>
  </si>
  <si>
    <t>LARGE GROUP DMHC POS</t>
  </si>
  <si>
    <t>MIDSIZE DMHC HMO</t>
  </si>
  <si>
    <t>BLUE GROOVE HMO MID/LARGE</t>
  </si>
  <si>
    <t>BLUE GROOVE POS MID/LARGE</t>
  </si>
  <si>
    <t>MIDSIZE DMHC POS</t>
  </si>
  <si>
    <t>CORE DMHC HMO RETENTION</t>
  </si>
  <si>
    <t>CORE DMHC POS RETENTION</t>
  </si>
  <si>
    <t>CORE DMHC HMO FLEX FUNDED</t>
  </si>
  <si>
    <t>CORE DMHC POS FLEX FUNDED</t>
  </si>
  <si>
    <t>CORE ASO</t>
  </si>
  <si>
    <t>CORE CDHP ASO</t>
  </si>
  <si>
    <t>0041</t>
  </si>
  <si>
    <t>CDHP</t>
  </si>
  <si>
    <t>CORE SHARED ADJUDICATIO</t>
  </si>
  <si>
    <t>SHARED ADVANTAGE+</t>
  </si>
  <si>
    <t>SHARED ADVANTAGE</t>
  </si>
  <si>
    <t>SARB</t>
  </si>
  <si>
    <t>SARN</t>
  </si>
  <si>
    <t>SHARED ADJUDICATION</t>
  </si>
  <si>
    <t>SANN</t>
  </si>
  <si>
    <t>0059</t>
  </si>
  <si>
    <t>SHARED ADVANTAGE HIGH OPTION</t>
  </si>
  <si>
    <t>MIDSIZE ASO</t>
  </si>
  <si>
    <t>LARGE GROUP DMHC PPO</t>
  </si>
  <si>
    <t>MIDSIZE DMHC PPO</t>
  </si>
  <si>
    <t>BLUE GROOVE PPO MID/LARGE</t>
  </si>
  <si>
    <t>CORE DMHC PPO RETENTION</t>
  </si>
  <si>
    <t>PDP STAND-ALONE</t>
  </si>
  <si>
    <t>CMS PDP</t>
  </si>
  <si>
    <t>0045</t>
  </si>
  <si>
    <t>ENHANCED STAND-ALONE</t>
  </si>
  <si>
    <t>0060</t>
  </si>
  <si>
    <t>STANDARD STAND-ALONE</t>
  </si>
  <si>
    <t>PREMIER GPDP</t>
  </si>
  <si>
    <t>0049</t>
  </si>
  <si>
    <t>GPDP</t>
  </si>
  <si>
    <t>PREMIER GPDP ASO</t>
  </si>
  <si>
    <t>0050</t>
  </si>
  <si>
    <t>GPDP ASO</t>
  </si>
  <si>
    <t>PREMIER GPDP FLEX</t>
  </si>
  <si>
    <t>0051</t>
  </si>
  <si>
    <t>GPDP FLEX</t>
  </si>
  <si>
    <t>CORE PDP</t>
  </si>
  <si>
    <t>CORE PDP ASO</t>
  </si>
  <si>
    <t>CORE GPDP FLEX</t>
  </si>
  <si>
    <t>BSC EMPLOYEE GROUP PDP</t>
  </si>
  <si>
    <t>PERS PDP</t>
  </si>
  <si>
    <t>PDP MEDSUPP STANDARD</t>
  </si>
  <si>
    <t>0046</t>
  </si>
  <si>
    <t>ENHANCED WITH MEDSUPP</t>
  </si>
  <si>
    <t>LARGE  NATL DMHC HMO CONTROL/REG</t>
  </si>
  <si>
    <t>HMO AWAY FROM HOME CARE</t>
  </si>
  <si>
    <t>AWAY FROM HOME CARE</t>
  </si>
  <si>
    <t>LARGE  NATL DMHC POS CONTROL/REG</t>
  </si>
  <si>
    <t>STRATEGIC ACCOUNTS NAT'L CONTROL DMHC POS UW</t>
  </si>
  <si>
    <t>NATL CONTROL DMHC POS LABOR &amp; TRUST</t>
  </si>
  <si>
    <t>NATL CONTROL DMHC HMO LABOR &amp; TRUST</t>
  </si>
  <si>
    <t>LARGE NATIONAL CONTROL DMHC HMO RETENTION</t>
  </si>
  <si>
    <t>LARGE  NATL CONTROL DMHC POS RETENTION</t>
  </si>
  <si>
    <t>STRATEGIC ACCOUNTS NAT'L CONTROL DMHC HMO UW</t>
  </si>
  <si>
    <t>STRATEGIC ACCOUNTS NATL CONTROL DMHC HMO FLEX FUNDED</t>
  </si>
  <si>
    <t>STRATEGIC ACCOUNTS NATL CONTROL DMHC POS FLEX FUNDED</t>
  </si>
  <si>
    <t>LABOR &amp; TRUST NATIONAL ASO</t>
  </si>
  <si>
    <t>STRATEGIC NATIONAL - UC ASO</t>
  </si>
  <si>
    <t>0063</t>
  </si>
  <si>
    <t>ASO UC</t>
  </si>
  <si>
    <t>CORE LARGE NATIONAL ASO</t>
  </si>
  <si>
    <t>NATIONAL CDHP ASO</t>
  </si>
  <si>
    <t>0040</t>
  </si>
  <si>
    <t>CALCHOICE</t>
  </si>
  <si>
    <t>STRATEGIC ACCOUNTS NATL CONTROL ASO</t>
  </si>
  <si>
    <t>SHARED ADJUDICATION - NATIONAL</t>
  </si>
  <si>
    <t>LARGE  NATL CONTROL DMHC PPO</t>
  </si>
  <si>
    <t>0010</t>
  </si>
  <si>
    <t>ITS HOST</t>
  </si>
  <si>
    <t>0053</t>
  </si>
  <si>
    <t>NATIONAL PAR</t>
  </si>
  <si>
    <t>BLUECARD NATIONAL ASO</t>
  </si>
  <si>
    <t>STRATEGIC ACCOUNTS NATL CONTROL DMHC PPO UW</t>
  </si>
  <si>
    <t>STRATEGIC NATIONAL - DMHC PPO FLEX FUNDED</t>
  </si>
  <si>
    <t>STRATEGIC ACCOUNTS NATL CONTROL DMHC PPO RETENTION</t>
  </si>
  <si>
    <t>MID/LARGE NATL CNTRL DMHC PPO RETEN</t>
  </si>
  <si>
    <t>NATL CONTROL DMHC PPO LABOR &amp; TRUST</t>
  </si>
  <si>
    <t>BLUECARD OUT-OF-AREA</t>
  </si>
  <si>
    <t>PERS ACCESS+ BASIC FLEX FUNDED</t>
  </si>
  <si>
    <t>BASIC ACCESS+</t>
  </si>
  <si>
    <t>PERS ACCESS+ MEDSUPP FLEX FUNDED</t>
  </si>
  <si>
    <t>0033</t>
  </si>
  <si>
    <t>ACCESS+ MEDSUPP</t>
  </si>
  <si>
    <t>PERS NETVALUE BASIC FLEX FUNDED</t>
  </si>
  <si>
    <t>0054</t>
  </si>
  <si>
    <t>NETVALUE BASIC</t>
  </si>
  <si>
    <t>PERS NETVALUE MEDSUPP FLEX FUNDED</t>
  </si>
  <si>
    <t>0055</t>
  </si>
  <si>
    <t>NETVALUE MEDSUPP</t>
  </si>
  <si>
    <t>PERS ACCESS+ EPO BASIC FLEX FUNDED</t>
  </si>
  <si>
    <t>DHMC EPO</t>
  </si>
  <si>
    <t>ACCESS+ EPO BASIC</t>
  </si>
  <si>
    <t>PERS ACCESS+ EPO MEDSUPP FLEX FUNDED</t>
  </si>
  <si>
    <t>0032</t>
  </si>
  <si>
    <t>ACCESS+ EPO MEDSUPP</t>
  </si>
  <si>
    <t>INDIVIDUAL MEDICARE ADVANTAGE_PRESCRIPTION DRUG</t>
  </si>
  <si>
    <t>CMS INDV MAPD</t>
  </si>
  <si>
    <t>GEMCARE IMAPD</t>
  </si>
  <si>
    <t>GEMCARE</t>
  </si>
  <si>
    <t>GMAPD - PERS STANDARD</t>
  </si>
  <si>
    <t>CMS GROUP MAPD</t>
  </si>
  <si>
    <t>GMAPD - LTP</t>
  </si>
  <si>
    <t>GMAPD - STRATEGIC ACCOUNTS</t>
  </si>
  <si>
    <t>GMAPD - CORE</t>
  </si>
  <si>
    <t>GMAPD - MIDSIZE GROUP</t>
  </si>
  <si>
    <t>1007</t>
  </si>
  <si>
    <t>Midsize National</t>
  </si>
  <si>
    <t>GMAPD - PERS</t>
  </si>
  <si>
    <t>GEMCARE GMAPD</t>
  </si>
  <si>
    <t>SMALL GROUP DMHC HMO</t>
  </si>
  <si>
    <t>SMALL DMHC POS</t>
  </si>
  <si>
    <t>SMALL GROUP SHOP HMO</t>
  </si>
  <si>
    <t>SHOP</t>
  </si>
  <si>
    <t>SMALL GROUP MIRROR SHOP HMO</t>
  </si>
  <si>
    <t>MIRROR SHOP</t>
  </si>
  <si>
    <t>SMALL DMHC PPO</t>
  </si>
  <si>
    <t>SMALL GROUP SHOP PPO</t>
  </si>
  <si>
    <t>SMALL GROUP MIRROR SHOP PPO</t>
  </si>
  <si>
    <t>TriWest</t>
  </si>
  <si>
    <t>TriWest Network Rental</t>
  </si>
  <si>
    <t>0062</t>
  </si>
  <si>
    <t>TRIWEST</t>
  </si>
  <si>
    <t>IFP DMHC HMO</t>
  </si>
  <si>
    <t>IFP DMHC HMO NG ON EXCHANG</t>
  </si>
  <si>
    <t>IFP DMHC HMO NG OFF EXCHANG</t>
  </si>
  <si>
    <t>IFP DMHC PPO</t>
  </si>
  <si>
    <t>IFP DMHC PPO GI</t>
  </si>
  <si>
    <t>IFP DMHC PPO NG ON EXCHANGE</t>
  </si>
  <si>
    <t>IFP DMHC PPO NG OFF EXCHANGE</t>
  </si>
  <si>
    <t>IFP OFF-OFF EXCHANGE</t>
  </si>
  <si>
    <t>OFF-OFF EXCHANGE</t>
  </si>
  <si>
    <t>MEDSUPP DMHC PPO</t>
  </si>
  <si>
    <t>MED SUPP INDEMNITY WITH PDP</t>
  </si>
  <si>
    <t>MED SUPP INDEMNITY WITHOUT PDP</t>
  </si>
  <si>
    <t xml:space="preserve">Care1st CA Medi-Cal LA County </t>
  </si>
  <si>
    <t>0400</t>
  </si>
  <si>
    <t xml:space="preserve">MEDI-CAL </t>
  </si>
  <si>
    <t>1020</t>
  </si>
  <si>
    <t>CARE1ST MEDI-CAL</t>
  </si>
  <si>
    <t>0110</t>
  </si>
  <si>
    <t>MEDI-CAL LA</t>
  </si>
  <si>
    <t>Care1st CA Medi-Cal SD County</t>
  </si>
  <si>
    <t>0140</t>
  </si>
  <si>
    <t>MEDI-CAL SD</t>
  </si>
  <si>
    <t>Care1st CA Medicare</t>
  </si>
  <si>
    <t>0170</t>
  </si>
  <si>
    <t>CARE1ST CA MAPD</t>
  </si>
  <si>
    <t>H14</t>
  </si>
  <si>
    <t>Care1st CA Other</t>
  </si>
  <si>
    <t>0450</t>
  </si>
  <si>
    <t>CARE1ST CA OTHER</t>
  </si>
  <si>
    <t>9003</t>
  </si>
  <si>
    <t>CARE1ST OTHER</t>
  </si>
  <si>
    <t>0180</t>
  </si>
  <si>
    <t>CARE1ST CLINIC</t>
  </si>
  <si>
    <t>Care1st CA Duals LA County</t>
  </si>
  <si>
    <t>0470</t>
  </si>
  <si>
    <t>CARE1st CA CCI</t>
  </si>
  <si>
    <t>1022</t>
  </si>
  <si>
    <t>CARE1ST CMC</t>
  </si>
  <si>
    <t>0190</t>
  </si>
  <si>
    <t>CMC LA DUALS</t>
  </si>
  <si>
    <t>Care1st CA Duals SD County</t>
  </si>
  <si>
    <t>0230</t>
  </si>
  <si>
    <t>CMC SD DUALS</t>
  </si>
  <si>
    <t>H18</t>
  </si>
  <si>
    <t>Care1st AZ Medicaid (AHCCCS)</t>
  </si>
  <si>
    <t>0401</t>
  </si>
  <si>
    <t xml:space="preserve">MEDICAID </t>
  </si>
  <si>
    <t>1021</t>
  </si>
  <si>
    <t>CARE1ST AZ MEDICAID</t>
  </si>
  <si>
    <t>0240</t>
  </si>
  <si>
    <t>AHCCCS</t>
  </si>
  <si>
    <t>H19</t>
  </si>
  <si>
    <t xml:space="preserve">Care1st AZ Medicare </t>
  </si>
  <si>
    <t>0260</t>
  </si>
  <si>
    <t>CARE1ST AZ MAPD</t>
  </si>
  <si>
    <t>H20</t>
  </si>
  <si>
    <t>Care1st AZ Other (TPA)</t>
  </si>
  <si>
    <t>0460</t>
  </si>
  <si>
    <t>CARE1ST AZ TPA</t>
  </si>
  <si>
    <t>9002</t>
  </si>
  <si>
    <t xml:space="preserve">MERITUS </t>
  </si>
  <si>
    <t>0270</t>
  </si>
  <si>
    <t>CARE1ST TPA</t>
  </si>
  <si>
    <t>MCTR_VAL1 DESC</t>
  </si>
  <si>
    <t>MCTR_CTYP DESC</t>
  </si>
  <si>
    <t>MCTR_BCAT DESC</t>
  </si>
  <si>
    <t>CAC_CODE DESC</t>
  </si>
  <si>
    <t>COA</t>
  </si>
  <si>
    <t>CAC_CODE_CROSSWALK(Updated 7-22-2016).xlsx</t>
  </si>
  <si>
    <t>BIS Data</t>
  </si>
  <si>
    <t>Medical</t>
  </si>
  <si>
    <t>Dental</t>
  </si>
  <si>
    <t>Drug</t>
  </si>
  <si>
    <t>Vision</t>
  </si>
  <si>
    <t>Life</t>
  </si>
  <si>
    <t>COA is based on Medical COA, no COA available for Dental, Vision, Drug, Life</t>
  </si>
  <si>
    <t>MEMBER_PRODUCT_MONTH_FACT</t>
  </si>
  <si>
    <t>YR_MO_NBR</t>
  </si>
  <si>
    <t>SBSCR_ID</t>
  </si>
  <si>
    <t>MBR_ID_SUFX_NBR</t>
  </si>
  <si>
    <t>PRODUCT_ID</t>
  </si>
  <si>
    <t>9049314360000</t>
  </si>
  <si>
    <t>D0000269</t>
  </si>
  <si>
    <t>V0000152</t>
  </si>
  <si>
    <t>MA008533</t>
  </si>
  <si>
    <t>MEMBERSHIP_DETAIL_FACT</t>
  </si>
  <si>
    <t>to_char(mdf.MO_END_DT, 'yyyymm') = '201708'</t>
  </si>
  <si>
    <t>904931436</t>
  </si>
  <si>
    <t>YEARMO</t>
  </si>
  <si>
    <t>MED_MO_QTY</t>
  </si>
  <si>
    <t>DENT_MO_QTY</t>
  </si>
  <si>
    <t>PHARM_MO_QTY</t>
  </si>
  <si>
    <t>VISN_MO_QTY</t>
  </si>
  <si>
    <t>LF_MO_QTY</t>
  </si>
  <si>
    <t>20170831</t>
  </si>
  <si>
    <t>data from Ronnie Dickson</t>
  </si>
  <si>
    <t>BenBuck</t>
  </si>
  <si>
    <t>Reserve Model (with fixes from Finance)</t>
  </si>
  <si>
    <t>Total Members</t>
  </si>
  <si>
    <t>guessing business rules reassigns these CACs</t>
  </si>
  <si>
    <t>ReserveMonth</t>
  </si>
  <si>
    <t>IncurredMonth</t>
  </si>
  <si>
    <t>SumOfMembers</t>
  </si>
  <si>
    <t>Medical only</t>
  </si>
  <si>
    <t>Reserve Data</t>
  </si>
  <si>
    <t>Reserve_Details.mdb</t>
  </si>
  <si>
    <t xml:space="preserve">           ) </t>
  </si>
  <si>
    <t xml:space="preserve">   LEFT JOIN COST_ACCUMULATION_DIMENSION  cad  ON mdf.CAC_DK = cad.CAC_DK</t>
  </si>
  <si>
    <t xml:space="preserve">   LEFT JOIN PLAN_MEMBER_DIMENSION        pmd  ON mdf.PLN_MBR_DK = pmd.PLN_MBR_DK</t>
  </si>
  <si>
    <t xml:space="preserve">   LEFT JOIN HEALTH_PLAN_GROUP_DIMENSION  hpgd  ON mdf.HLTH_PLN_GRP_DK = hpgd.HLTH_PLN_GRP_DK</t>
  </si>
  <si>
    <t xml:space="preserve">   LEFT JOIN HEALTH_PLAN_PRODUCT_DIMENSION hppd ON mdf.MED_PRDCT_DK = hppd.HLTH_PLN_PRDCT_DK</t>
  </si>
  <si>
    <t xml:space="preserve">   , SUM(MED_MO_QTY2) as MED_MEMB</t>
  </si>
  <si>
    <t xml:space="preserve">          ELSE 0 </t>
  </si>
  <si>
    <t xml:space="preserve">          END as MED_MO_QTY2</t>
  </si>
  <si>
    <t xml:space="preserve">   , SUM(PHARM_MO_QTY2) as PHA_MEMB</t>
  </si>
  <si>
    <t xml:space="preserve">   , CASE WHEN upper(HPPD.HLTH_PLN_PRDCT_TYP_CD) = 'MEDCL' AND upper(pmd.SS_CD) in ('FACETS') THEN mdf.MED_MO_QTY</t>
  </si>
  <si>
    <t>WORKAROUND LOGIC</t>
  </si>
  <si>
    <t xml:space="preserve">   , CASE WHEN upper(pmd.SS_CD) in ('FACETS') THEN mdf.PHARM_MO_QTY</t>
  </si>
  <si>
    <t>WORKAROUND LOGIC to REMOVE invalid drug members in SG CDI, PERS</t>
  </si>
  <si>
    <t xml:space="preserve">          END as PHARM_MO_QTY2</t>
  </si>
  <si>
    <r>
      <t xml:space="preserve">   AND (  (  cad.LOB_CD not in ('0010','0009') </t>
    </r>
    <r>
      <rPr>
        <sz val="11"/>
        <color rgb="FF808080"/>
        <rFont val="Courier New"/>
        <family val="3"/>
      </rPr>
      <t/>
    </r>
  </si>
  <si>
    <t>WORKAROUND TO REMOVE EXTRA FEP PPO MEMBERS</t>
  </si>
  <si>
    <t xml:space="preserve">         or (cad.LOB_CD in ('0010','0009') and pmd.HOM_ST_PRVNC_CD = 'CA')</t>
  </si>
  <si>
    <t xml:space="preserve">         or  cad.LOB_CD is null</t>
  </si>
  <si>
    <t xml:space="preserve">        and </t>
  </si>
  <si>
    <t xml:space="preserve">          (  hpgd.GRP_NBR not in ('W0051749','1005000') </t>
  </si>
  <si>
    <t xml:space="preserve">         or (hpgd.GRP_NBR = 'W0051749' and pmd.HOM_ST_PRVNC_CD = 'CA')</t>
  </si>
  <si>
    <t xml:space="preserve">           )</t>
  </si>
  <si>
    <t xml:space="preserve">        )</t>
  </si>
  <si>
    <t>GROUP BY ReserveMonth, IncurredMonth, ResCat, CAC, BenBuck</t>
  </si>
  <si>
    <t>SELECT ReserveMonth, IncurredMonth, ResCat, CAC, BenBuck, Sum(Members) AS SumOfMembers</t>
  </si>
  <si>
    <t>Drug Members</t>
  </si>
  <si>
    <t>0000</t>
  </si>
  <si>
    <t>code based on one provided by Vision SME, Stephen Chiang</t>
  </si>
  <si>
    <t>MEMBERS</t>
  </si>
  <si>
    <t xml:space="preserve">  SELECT *</t>
  </si>
  <si>
    <t>SELECT</t>
  </si>
  <si>
    <t xml:space="preserve">    cd.YR_MO_NBR</t>
  </si>
  <si>
    <t xml:space="preserve">  , cad.BUS_CATEG_CD</t>
  </si>
  <si>
    <t xml:space="preserve">  , cad.MKT_SEG_CD</t>
  </si>
  <si>
    <t xml:space="preserve">  , cad.PLN_TYP_CD</t>
  </si>
  <si>
    <t xml:space="preserve">  , count(Distinct mef.PLN_MBR_DK ) as members</t>
  </si>
  <si>
    <t>FROM</t>
  </si>
  <si>
    <t xml:space="preserve">            MEMBER_ELIGIBILITY_FACT       mef</t>
  </si>
  <si>
    <t xml:space="preserve">  LEFT JOIN PLAN_MEMBER_DIMENSION         pmd  ON mef.PLN_MBR_DK = pmd.PLN_MBR_DK</t>
  </si>
  <si>
    <t xml:space="preserve">  LEFT JOIN HEALTH_PLAN_PRODUCT_DIMENSION hppd ON mef.HLTH_PLN_PRDCT_DK = hppd.HLTH_PLN_PRDCT_DK</t>
  </si>
  <si>
    <t xml:space="preserve">  LEFT JOIN CALENDAR_DIMENSION            cd   ON (cd.CAL_DT BETWEEN mef.ELIG_STRT_DT AND LAST_DAY(mef.ELIG_END_DT)</t>
  </si>
  <si>
    <t xml:space="preserve">                                              AND  cd.LST_DY_OF_MO_IND = 1)</t>
  </si>
  <si>
    <t xml:space="preserve">  LEFT JOIN COST_ACCUMULATION_DIMENSION   cad  ON mef.CAC_DK = cad.CAC_DK</t>
  </si>
  <si>
    <t>WHERE</t>
  </si>
  <si>
    <t xml:space="preserve">   AND hppd.HLTH_PLN_PRDCT_BK LIKE 'D%'</t>
  </si>
  <si>
    <t xml:space="preserve">   AND mef.ELIG_IND = 'Y'</t>
  </si>
  <si>
    <t>GROUP BY</t>
  </si>
  <si>
    <t xml:space="preserve">    cd.YR_MO_NBR  </t>
  </si>
  <si>
    <t>ORDER BY</t>
  </si>
  <si>
    <t xml:space="preserve"> cd.YR_MO_NBR  </t>
  </si>
  <si>
    <t xml:space="preserve">   AND hppd.HLTH_PLN_PRDCT_BK LIKE 'V%'</t>
  </si>
  <si>
    <t xml:space="preserve">       to_char(mdf.MO_END_DT, 'yyyymm') = '201801'</t>
  </si>
  <si>
    <t xml:space="preserve">       cd.YR_MO_NBR = 201801</t>
  </si>
  <si>
    <t>201801</t>
  </si>
  <si>
    <t>HAVING ReserveMonth='201801' AND IncurredMonth='201801';</t>
  </si>
  <si>
    <t>MEDICAL MEMBERSHIP</t>
  </si>
  <si>
    <t>DRUG MEMBERSHIP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</si>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</sst>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color theme="1"/>
      <name val="Century Gothic"/>
      <family val="2"/>
    </font>
    <font>
      <sz val="10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0"/>
      <color rgb="FF9C0006"/>
      <name val="Calibri"/>
      <family val="2"/>
      <scheme val="minor"/>
    </font>
    <font>
      <sz val="11"/>
      <color theme="1"/>
      <name val="Courier New"/>
      <family val="3"/>
    </font>
    <font>
      <sz val="11"/>
      <name val="Courier New"/>
      <family val="3"/>
    </font>
    <font>
      <b/>
      <sz val="11"/>
      <name val="Calibri"/>
      <family val="2"/>
      <scheme val="minor"/>
    </font>
    <font>
      <sz val="10"/>
      <color rgb="FF0070C0"/>
      <name val="Century Gothic"/>
      <family val="2"/>
    </font>
    <font>
      <sz val="11"/>
      <name val="Calibri"/>
      <family val="2"/>
      <scheme val="minor"/>
    </font>
    <font>
      <sz val="10"/>
      <color theme="9" tint="-0.499984740745262"/>
      <name val="Calibri"/>
      <family val="2"/>
      <scheme val="minor"/>
    </font>
    <font>
      <sz val="10"/>
      <color rgb="FF0070C0"/>
      <name val="Calibri"/>
      <family val="2"/>
    </font>
    <font>
      <b/>
      <sz val="11"/>
      <color rgb="FFFF0000"/>
      <name val="Calibri"/>
      <family val="2"/>
      <scheme val="minor"/>
    </font>
    <font>
      <sz val="9"/>
      <color rgb="FF808080"/>
      <name val="Courier New"/>
      <family val="3"/>
    </font>
    <font>
      <sz val="11"/>
      <color rgb="FF808080"/>
      <name val="Courier New"/>
      <family val="3"/>
    </font>
    <font>
      <sz val="11"/>
      <color rgb="FFFF0000"/>
      <name val="Courier New"/>
      <family val="3"/>
    </font>
    <font>
      <sz val="10"/>
      <color indexed="8"/>
      <name val="Calibri"/>
      <family val="2"/>
    </font>
    <font>
      <sz val="11"/>
      <color rgb="FF7030A0"/>
      <name val="Calibri"/>
      <family val="2"/>
      <scheme val="minor"/>
    </font>
    <font>
      <sz val="10"/>
      <color rgb="FF7030A0"/>
      <name val="Calibri"/>
      <family val="2"/>
    </font>
    <font>
      <sz val="10"/>
      <color rgb="FF7030A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4" fillId="0" borderId="0"/>
    <xf numFmtId="0" fontId="6" fillId="0" borderId="0"/>
    <xf numFmtId="0" fontId="8" fillId="7" borderId="0" applyNumberFormat="0" applyBorder="0" applyAlignment="0" applyProtection="0"/>
    <xf numFmtId="0" fontId="1" fillId="0" borderId="0"/>
    <xf numFmtId="0" fontId="6" fillId="0" borderId="0"/>
  </cellStyleXfs>
  <cellXfs count="129">
    <xf numFmtId="0" fontId="0" fillId="0" borderId="0" xfId="0"/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left"/>
    </xf>
    <xf numFmtId="0" fontId="7" fillId="0" borderId="7" xfId="4" applyFont="1" applyFill="1" applyBorder="1" applyAlignment="1">
      <alignment horizontal="center"/>
    </xf>
    <xf numFmtId="0" fontId="7" fillId="0" borderId="8" xfId="4" applyFont="1" applyFill="1" applyBorder="1" applyAlignment="1">
      <alignment horizontal="left"/>
    </xf>
    <xf numFmtId="0" fontId="7" fillId="0" borderId="9" xfId="4" applyFont="1" applyFill="1" applyBorder="1" applyAlignment="1">
      <alignment horizontal="center"/>
    </xf>
    <xf numFmtId="0" fontId="7" fillId="0" borderId="10" xfId="4" applyFont="1" applyFill="1" applyBorder="1" applyAlignment="1">
      <alignment horizontal="left"/>
    </xf>
    <xf numFmtId="0" fontId="7" fillId="0" borderId="11" xfId="4" applyFont="1" applyFill="1" applyBorder="1" applyAlignment="1">
      <alignment horizontal="center"/>
    </xf>
    <xf numFmtId="0" fontId="7" fillId="0" borderId="12" xfId="4" applyFont="1" applyFill="1" applyBorder="1" applyAlignment="1">
      <alignment horizontal="left"/>
    </xf>
    <xf numFmtId="0" fontId="7" fillId="0" borderId="13" xfId="4" applyFont="1" applyFill="1" applyBorder="1" applyAlignment="1">
      <alignment horizontal="center"/>
    </xf>
    <xf numFmtId="0" fontId="7" fillId="0" borderId="14" xfId="4" applyFont="1" applyFill="1" applyBorder="1" applyAlignment="1">
      <alignment horizontal="left"/>
    </xf>
    <xf numFmtId="0" fontId="5" fillId="6" borderId="15" xfId="0" applyFont="1" applyFill="1" applyBorder="1" applyAlignment="1">
      <alignment horizontal="center"/>
    </xf>
    <xf numFmtId="0" fontId="5" fillId="6" borderId="16" xfId="0" applyFont="1" applyFill="1" applyBorder="1" applyAlignment="1">
      <alignment horizontal="left"/>
    </xf>
    <xf numFmtId="0" fontId="5" fillId="6" borderId="17" xfId="0" applyFont="1" applyFill="1" applyBorder="1" applyAlignment="1">
      <alignment horizontal="center"/>
    </xf>
    <xf numFmtId="0" fontId="5" fillId="6" borderId="18" xfId="0" applyFont="1" applyFill="1" applyBorder="1" applyAlignment="1">
      <alignment horizontal="center"/>
    </xf>
    <xf numFmtId="0" fontId="2" fillId="0" borderId="0" xfId="0" applyFont="1"/>
    <xf numFmtId="0" fontId="2" fillId="8" borderId="1" xfId="0" applyFont="1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164" fontId="9" fillId="0" borderId="21" xfId="1" applyNumberFormat="1" applyFont="1" applyBorder="1"/>
    <xf numFmtId="164" fontId="9" fillId="0" borderId="23" xfId="1" applyNumberFormat="1" applyFont="1" applyBorder="1"/>
    <xf numFmtId="164" fontId="9" fillId="0" borderId="26" xfId="1" applyNumberFormat="1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64" fontId="0" fillId="0" borderId="0" xfId="0" applyNumberFormat="1"/>
    <xf numFmtId="0" fontId="0" fillId="9" borderId="0" xfId="0" applyFill="1"/>
    <xf numFmtId="165" fontId="10" fillId="7" borderId="1" xfId="5" applyNumberFormat="1" applyFont="1" applyBorder="1" applyAlignment="1">
      <alignment horizontal="center"/>
    </xf>
    <xf numFmtId="164" fontId="9" fillId="0" borderId="0" xfId="0" applyNumberFormat="1" applyFont="1"/>
    <xf numFmtId="0" fontId="0" fillId="0" borderId="25" xfId="0" quotePrefix="1" applyBorder="1"/>
    <xf numFmtId="0" fontId="0" fillId="0" borderId="20" xfId="0" quotePrefix="1" applyBorder="1"/>
    <xf numFmtId="0" fontId="0" fillId="0" borderId="0" xfId="0" quotePrefix="1" applyBorder="1"/>
    <xf numFmtId="0" fontId="0" fillId="0" borderId="3" xfId="0" applyFill="1" applyBorder="1"/>
    <xf numFmtId="49" fontId="0" fillId="0" borderId="19" xfId="0" applyNumberFormat="1" applyBorder="1"/>
    <xf numFmtId="49" fontId="0" fillId="0" borderId="20" xfId="0" applyNumberFormat="1" applyBorder="1"/>
    <xf numFmtId="49" fontId="0" fillId="0" borderId="22" xfId="0" applyNumberFormat="1" applyBorder="1"/>
    <xf numFmtId="49" fontId="0" fillId="0" borderId="0" xfId="0" applyNumberFormat="1" applyBorder="1"/>
    <xf numFmtId="49" fontId="0" fillId="0" borderId="24" xfId="0" applyNumberFormat="1" applyBorder="1"/>
    <xf numFmtId="49" fontId="0" fillId="0" borderId="25" xfId="0" applyNumberFormat="1" applyBorder="1"/>
    <xf numFmtId="0" fontId="0" fillId="0" borderId="0" xfId="0"/>
    <xf numFmtId="0" fontId="11" fillId="2" borderId="2" xfId="0" applyFont="1" applyFill="1" applyBorder="1"/>
    <xf numFmtId="0" fontId="11" fillId="2" borderId="3" xfId="0" applyFont="1" applyFill="1" applyBorder="1"/>
    <xf numFmtId="0" fontId="11" fillId="3" borderId="3" xfId="0" applyFont="1" applyFill="1" applyBorder="1"/>
    <xf numFmtId="0" fontId="12" fillId="2" borderId="3" xfId="0" applyFont="1" applyFill="1" applyBorder="1"/>
    <xf numFmtId="0" fontId="12" fillId="4" borderId="3" xfId="0" applyFont="1" applyFill="1" applyBorder="1"/>
    <xf numFmtId="0" fontId="12" fillId="2" borderId="4" xfId="0" applyFont="1" applyFill="1" applyBorder="1"/>
    <xf numFmtId="0" fontId="3" fillId="0" borderId="0" xfId="0" applyFont="1"/>
    <xf numFmtId="0" fontId="0" fillId="0" borderId="0" xfId="0"/>
    <xf numFmtId="49" fontId="0" fillId="0" borderId="0" xfId="0" applyNumberFormat="1"/>
    <xf numFmtId="0" fontId="13" fillId="8" borderId="1" xfId="0" applyFont="1" applyFill="1" applyBorder="1"/>
    <xf numFmtId="49" fontId="2" fillId="0" borderId="0" xfId="0" applyNumberFormat="1" applyFont="1" applyFill="1"/>
    <xf numFmtId="49" fontId="3" fillId="0" borderId="0" xfId="0" applyNumberFormat="1" applyFont="1" applyFill="1"/>
    <xf numFmtId="0" fontId="3" fillId="0" borderId="0" xfId="0" applyNumberFormat="1" applyFont="1" applyFill="1"/>
    <xf numFmtId="0" fontId="14" fillId="4" borderId="0" xfId="0" applyFont="1" applyFill="1" applyBorder="1" applyAlignment="1">
      <alignment horizontal="left"/>
    </xf>
    <xf numFmtId="0" fontId="14" fillId="4" borderId="0" xfId="0" applyFont="1" applyFill="1" applyBorder="1"/>
    <xf numFmtId="0" fontId="3" fillId="4" borderId="0" xfId="0" quotePrefix="1" applyFont="1" applyFill="1"/>
    <xf numFmtId="0" fontId="3" fillId="4" borderId="0" xfId="0" applyNumberFormat="1" applyFont="1" applyFill="1"/>
    <xf numFmtId="49" fontId="3" fillId="4" borderId="0" xfId="0" applyNumberFormat="1" applyFont="1" applyFill="1"/>
    <xf numFmtId="0" fontId="3" fillId="4" borderId="0" xfId="0" quotePrefix="1" applyFont="1" applyFill="1" applyAlignment="1">
      <alignment horizontal="left"/>
    </xf>
    <xf numFmtId="49" fontId="0" fillId="0" borderId="2" xfId="0" applyNumberFormat="1" applyBorder="1"/>
    <xf numFmtId="49" fontId="0" fillId="0" borderId="3" xfId="0" applyNumberFormat="1" applyBorder="1"/>
    <xf numFmtId="0" fontId="0" fillId="0" borderId="0" xfId="0" applyFill="1" applyBorder="1" applyAlignment="1">
      <alignment horizontal="center" vertical="center"/>
    </xf>
    <xf numFmtId="164" fontId="9" fillId="8" borderId="23" xfId="1" applyNumberFormat="1" applyFont="1" applyFill="1" applyBorder="1"/>
    <xf numFmtId="164" fontId="15" fillId="0" borderId="21" xfId="1" applyNumberFormat="1" applyFont="1" applyBorder="1"/>
    <xf numFmtId="164" fontId="15" fillId="0" borderId="23" xfId="1" applyNumberFormat="1" applyFont="1" applyBorder="1"/>
    <xf numFmtId="164" fontId="15" fillId="0" borderId="26" xfId="1" applyNumberFormat="1" applyFont="1" applyBorder="1"/>
    <xf numFmtId="14" fontId="2" fillId="4" borderId="0" xfId="0" applyNumberFormat="1" applyFont="1" applyFill="1"/>
    <xf numFmtId="2" fontId="0" fillId="0" borderId="20" xfId="0" applyNumberFormat="1" applyBorder="1"/>
    <xf numFmtId="2" fontId="0" fillId="0" borderId="21" xfId="0" applyNumberFormat="1" applyBorder="1"/>
    <xf numFmtId="2" fontId="0" fillId="0" borderId="0" xfId="0" applyNumberFormat="1" applyBorder="1"/>
    <xf numFmtId="2" fontId="0" fillId="0" borderId="23" xfId="0" applyNumberFormat="1" applyBorder="1"/>
    <xf numFmtId="2" fontId="0" fillId="0" borderId="25" xfId="0" applyNumberFormat="1" applyBorder="1"/>
    <xf numFmtId="2" fontId="0" fillId="0" borderId="26" xfId="0" applyNumberFormat="1" applyBorder="1"/>
    <xf numFmtId="164" fontId="15" fillId="0" borderId="0" xfId="1" applyNumberFormat="1" applyFont="1" applyBorder="1"/>
    <xf numFmtId="0" fontId="0" fillId="0" borderId="0" xfId="0"/>
    <xf numFmtId="0" fontId="16" fillId="4" borderId="18" xfId="0" applyFont="1" applyFill="1" applyBorder="1" applyAlignment="1">
      <alignment horizontal="center"/>
    </xf>
    <xf numFmtId="0" fontId="16" fillId="4" borderId="16" xfId="0" applyFont="1" applyFill="1" applyBorder="1" applyAlignment="1">
      <alignment horizontal="left"/>
    </xf>
    <xf numFmtId="0" fontId="0" fillId="4" borderId="0" xfId="0" applyFill="1"/>
    <xf numFmtId="0" fontId="11" fillId="3" borderId="2" xfId="0" applyFont="1" applyFill="1" applyBorder="1"/>
    <xf numFmtId="0" fontId="11" fillId="3" borderId="4" xfId="0" applyFont="1" applyFill="1" applyBorder="1"/>
    <xf numFmtId="164" fontId="9" fillId="2" borderId="21" xfId="1" applyNumberFormat="1" applyFont="1" applyFill="1" applyBorder="1"/>
    <xf numFmtId="0" fontId="0" fillId="8" borderId="3" xfId="0" applyFill="1" applyBorder="1"/>
    <xf numFmtId="49" fontId="3" fillId="0" borderId="0" xfId="0" applyNumberFormat="1" applyFont="1"/>
    <xf numFmtId="0" fontId="3" fillId="0" borderId="0" xfId="0" applyNumberFormat="1" applyFont="1"/>
    <xf numFmtId="0" fontId="17" fillId="0" borderId="27" xfId="7" applyFont="1" applyFill="1" applyBorder="1" applyAlignment="1">
      <alignment wrapText="1"/>
    </xf>
    <xf numFmtId="0" fontId="17" fillId="0" borderId="27" xfId="7" applyFont="1" applyFill="1" applyBorder="1" applyAlignment="1">
      <alignment horizontal="right" wrapText="1"/>
    </xf>
    <xf numFmtId="0" fontId="18" fillId="4" borderId="0" xfId="0" applyFont="1" applyFill="1"/>
    <xf numFmtId="0" fontId="12" fillId="9" borderId="3" xfId="0" applyFont="1" applyFill="1" applyBorder="1"/>
    <xf numFmtId="0" fontId="19" fillId="0" borderId="0" xfId="0" applyFont="1" applyAlignment="1">
      <alignment vertical="center"/>
    </xf>
    <xf numFmtId="0" fontId="0" fillId="0" borderId="0" xfId="0"/>
    <xf numFmtId="164" fontId="15" fillId="2" borderId="21" xfId="1" applyNumberFormat="1" applyFont="1" applyFill="1" applyBorder="1"/>
    <xf numFmtId="0" fontId="0" fillId="0" borderId="0" xfId="0"/>
    <xf numFmtId="164" fontId="9" fillId="4" borderId="23" xfId="1" applyNumberFormat="1" applyFont="1" applyFill="1" applyBorder="1"/>
    <xf numFmtId="164" fontId="15" fillId="4" borderId="23" xfId="1" applyNumberFormat="1" applyFont="1" applyFill="1" applyBorder="1"/>
    <xf numFmtId="22" fontId="18" fillId="4" borderId="0" xfId="0" applyNumberFormat="1" applyFont="1" applyFill="1"/>
    <xf numFmtId="164" fontId="9" fillId="4" borderId="21" xfId="1" applyNumberFormat="1" applyFont="1" applyFill="1" applyBorder="1"/>
    <xf numFmtId="164" fontId="9" fillId="4" borderId="26" xfId="1" applyNumberFormat="1" applyFont="1" applyFill="1" applyBorder="1"/>
    <xf numFmtId="0" fontId="21" fillId="4" borderId="3" xfId="0" applyFont="1" applyFill="1" applyBorder="1"/>
    <xf numFmtId="164" fontId="9" fillId="0" borderId="23" xfId="1" applyNumberFormat="1" applyFont="1" applyFill="1" applyBorder="1"/>
    <xf numFmtId="164" fontId="9" fillId="11" borderId="23" xfId="1" applyNumberFormat="1" applyFont="1" applyFill="1" applyBorder="1"/>
    <xf numFmtId="0" fontId="22" fillId="0" borderId="27" xfId="7" applyFont="1" applyFill="1" applyBorder="1" applyAlignment="1">
      <alignment wrapText="1"/>
    </xf>
    <xf numFmtId="0" fontId="22" fillId="0" borderId="27" xfId="7" applyFont="1" applyFill="1" applyBorder="1" applyAlignment="1">
      <alignment horizontal="right" wrapText="1"/>
    </xf>
    <xf numFmtId="49" fontId="23" fillId="0" borderId="0" xfId="0" applyNumberFormat="1" applyFont="1"/>
    <xf numFmtId="0" fontId="23" fillId="0" borderId="0" xfId="0" applyNumberFormat="1" applyFont="1"/>
    <xf numFmtId="0" fontId="0" fillId="0" borderId="2" xfId="0" applyNumberFormat="1" applyBorder="1"/>
    <xf numFmtId="1" fontId="3" fillId="0" borderId="0" xfId="0" applyNumberFormat="1" applyFont="1"/>
    <xf numFmtId="0" fontId="11" fillId="3" borderId="0" xfId="0" applyFont="1" applyFill="1"/>
    <xf numFmtId="0" fontId="11" fillId="4" borderId="0" xfId="0" applyFont="1" applyFill="1"/>
    <xf numFmtId="164" fontId="3" fillId="0" borderId="0" xfId="1" applyNumberFormat="1" applyFont="1"/>
    <xf numFmtId="164" fontId="15" fillId="12" borderId="21" xfId="1" applyNumberFormat="1" applyFont="1" applyFill="1" applyBorder="1"/>
    <xf numFmtId="164" fontId="15" fillId="12" borderId="23" xfId="1" applyNumberFormat="1" applyFont="1" applyFill="1" applyBorder="1"/>
    <xf numFmtId="164" fontId="15" fillId="12" borderId="26" xfId="1" applyNumberFormat="1" applyFont="1" applyFill="1" applyBorder="1"/>
    <xf numFmtId="0" fontId="24" fillId="10" borderId="28" xfId="7" applyFont="1" applyFill="1" applyBorder="1" applyAlignment="1">
      <alignment horizontal="center"/>
    </xf>
    <xf numFmtId="0" fontId="24" fillId="0" borderId="27" xfId="7" applyFont="1" applyFill="1" applyBorder="1" applyAlignment="1">
      <alignment wrapText="1"/>
    </xf>
    <xf numFmtId="0" fontId="24" fillId="0" borderId="27" xfId="7" applyFont="1" applyFill="1" applyBorder="1" applyAlignment="1">
      <alignment horizontal="right" wrapText="1"/>
    </xf>
    <xf numFmtId="0" fontId="25" fillId="0" borderId="0" xfId="7" applyFont="1"/>
    <xf numFmtId="164" fontId="0" fillId="0" borderId="0" xfId="1" applyNumberFormat="1" applyFont="1"/>
    <xf numFmtId="164" fontId="23" fillId="0" borderId="0" xfId="1" applyNumberFormat="1" applyFont="1"/>
    <xf numFmtId="49" fontId="23" fillId="4" borderId="0" xfId="0" applyNumberFormat="1" applyFont="1" applyFill="1"/>
    <xf numFmtId="164" fontId="23" fillId="4" borderId="0" xfId="1" applyNumberFormat="1" applyFont="1" applyFill="1"/>
    <xf numFmtId="164" fontId="0" fillId="4" borderId="0" xfId="1" applyNumberFormat="1" applyFont="1" applyFill="1"/>
    <xf numFmtId="164" fontId="0" fillId="4" borderId="0" xfId="0" applyNumberFormat="1" applyFill="1"/>
  </cellXfs>
  <cellStyles count="8">
    <cellStyle name="Bad" xfId="5" builtinId="27"/>
    <cellStyle name="Comma" xfId="1" builtinId="3"/>
    <cellStyle name="Normal" xfId="0" builtinId="0"/>
    <cellStyle name="Normal 25" xfId="6"/>
    <cellStyle name="Normal 27" xfId="2"/>
    <cellStyle name="Normal 4" xfId="3"/>
    <cellStyle name="Normal_Reserves" xfId="7"/>
    <cellStyle name="Normal_Sheet1" xfId="4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IS%202017%20Members%202018-01-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Members"/>
      <sheetName val="Reserves"/>
      <sheetName val="FastClose"/>
      <sheetName val="BIS"/>
      <sheetName val="BIS-D"/>
      <sheetName val="BIS-V"/>
      <sheetName val="COA"/>
      <sheetName val="ResCat"/>
      <sheetName val="Sa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A3" t="str">
            <v>0095-9000-0105</v>
          </cell>
          <cell r="B3" t="str">
            <v>082</v>
          </cell>
        </row>
        <row r="4">
          <cell r="A4" t="str">
            <v>0096-9000-0105</v>
          </cell>
          <cell r="B4" t="str">
            <v>091</v>
          </cell>
        </row>
        <row r="5">
          <cell r="A5" t="str">
            <v>0097-9000-0105</v>
          </cell>
          <cell r="B5" t="str">
            <v>098</v>
          </cell>
        </row>
        <row r="6">
          <cell r="A6" t="str">
            <v>0098-9000-0105</v>
          </cell>
          <cell r="B6" t="str">
            <v>099</v>
          </cell>
        </row>
        <row r="7">
          <cell r="A7" t="str">
            <v>0011-1010-0019</v>
          </cell>
          <cell r="B7" t="str">
            <v>B11</v>
          </cell>
        </row>
        <row r="8">
          <cell r="A8" t="str">
            <v>0011-1004-0019</v>
          </cell>
          <cell r="B8" t="str">
            <v>B12</v>
          </cell>
        </row>
        <row r="9">
          <cell r="A9" t="str">
            <v>0007-1010-0008</v>
          </cell>
          <cell r="B9" t="str">
            <v>C21</v>
          </cell>
        </row>
        <row r="10">
          <cell r="A10" t="str">
            <v>0005-1010-0001</v>
          </cell>
          <cell r="B10" t="str">
            <v>C22</v>
          </cell>
        </row>
        <row r="11">
          <cell r="A11" t="str">
            <v>0009-1010-0014</v>
          </cell>
          <cell r="B11" t="str">
            <v>C28</v>
          </cell>
        </row>
        <row r="12">
          <cell r="A12" t="str">
            <v>0007-1010-0018</v>
          </cell>
          <cell r="B12" t="str">
            <v>C31</v>
          </cell>
        </row>
        <row r="13">
          <cell r="A13" t="str">
            <v>0007-1002-0018</v>
          </cell>
          <cell r="B13" t="str">
            <v>C32</v>
          </cell>
        </row>
        <row r="14">
          <cell r="A14" t="str">
            <v>0007-1003-0018</v>
          </cell>
          <cell r="B14" t="str">
            <v>C32</v>
          </cell>
        </row>
        <row r="15">
          <cell r="A15" t="str">
            <v>0007-1004-0018</v>
          </cell>
          <cell r="B15" t="str">
            <v>C32</v>
          </cell>
        </row>
        <row r="16">
          <cell r="A16" t="str">
            <v>0007-1005-0018</v>
          </cell>
          <cell r="B16" t="str">
            <v>C32</v>
          </cell>
        </row>
        <row r="17">
          <cell r="A17" t="str">
            <v>0007-1006-0018</v>
          </cell>
          <cell r="B17" t="str">
            <v>C32</v>
          </cell>
        </row>
        <row r="18">
          <cell r="A18" t="str">
            <v>0007-1012-0018</v>
          </cell>
          <cell r="B18" t="str">
            <v>C32</v>
          </cell>
        </row>
        <row r="19">
          <cell r="A19" t="str">
            <v>0007-1013-0018</v>
          </cell>
          <cell r="B19" t="str">
            <v>C32</v>
          </cell>
        </row>
        <row r="20">
          <cell r="A20" t="str">
            <v>0020-1002-0061</v>
          </cell>
          <cell r="B20" t="str">
            <v>C34</v>
          </cell>
        </row>
        <row r="21">
          <cell r="A21" t="str">
            <v>0020-1003-0061</v>
          </cell>
          <cell r="B21" t="str">
            <v>C34</v>
          </cell>
        </row>
        <row r="22">
          <cell r="A22" t="str">
            <v>0020-1012-0061</v>
          </cell>
          <cell r="B22" t="str">
            <v>C34</v>
          </cell>
        </row>
        <row r="23">
          <cell r="A23" t="str">
            <v>0020-1013-0061</v>
          </cell>
          <cell r="B23" t="str">
            <v>C34</v>
          </cell>
        </row>
        <row r="24">
          <cell r="A24" t="str">
            <v>0020-1006-0034</v>
          </cell>
          <cell r="B24" t="str">
            <v>C35</v>
          </cell>
        </row>
        <row r="25">
          <cell r="A25" t="str">
            <v>0007-1014-0008</v>
          </cell>
          <cell r="B25" t="str">
            <v>C36</v>
          </cell>
        </row>
        <row r="26">
          <cell r="A26" t="str">
            <v>0005-1014-0001</v>
          </cell>
          <cell r="B26" t="str">
            <v>C37</v>
          </cell>
        </row>
        <row r="27">
          <cell r="A27" t="str">
            <v>0007-1002-0008</v>
          </cell>
          <cell r="B27" t="str">
            <v>C41</v>
          </cell>
        </row>
        <row r="28">
          <cell r="A28" t="str">
            <v>0007-1003-0008</v>
          </cell>
          <cell r="B28" t="str">
            <v>C41</v>
          </cell>
        </row>
        <row r="29">
          <cell r="A29" t="str">
            <v>0007-1004-0008</v>
          </cell>
          <cell r="B29" t="str">
            <v>C41</v>
          </cell>
        </row>
        <row r="30">
          <cell r="A30" t="str">
            <v>0007-1005-0008</v>
          </cell>
          <cell r="B30" t="str">
            <v>C41</v>
          </cell>
        </row>
        <row r="31">
          <cell r="A31" t="str">
            <v>0007-1006-0008</v>
          </cell>
          <cell r="B31" t="str">
            <v>C41</v>
          </cell>
        </row>
        <row r="32">
          <cell r="A32" t="str">
            <v>0007-1012-0008</v>
          </cell>
          <cell r="B32" t="str">
            <v>C41</v>
          </cell>
        </row>
        <row r="33">
          <cell r="A33" t="str">
            <v>0007-1013-0008</v>
          </cell>
          <cell r="B33" t="str">
            <v>C41</v>
          </cell>
        </row>
        <row r="34">
          <cell r="A34" t="str">
            <v>0005-1001-0001</v>
          </cell>
          <cell r="B34" t="str">
            <v>C42</v>
          </cell>
        </row>
        <row r="35">
          <cell r="A35" t="str">
            <v>0005-1002-0001</v>
          </cell>
          <cell r="B35" t="str">
            <v>C42</v>
          </cell>
        </row>
        <row r="36">
          <cell r="A36" t="str">
            <v>0005-1003-0001</v>
          </cell>
          <cell r="B36" t="str">
            <v>C42</v>
          </cell>
        </row>
        <row r="37">
          <cell r="A37" t="str">
            <v>0005-1004-0001</v>
          </cell>
          <cell r="B37" t="str">
            <v>C42</v>
          </cell>
        </row>
        <row r="38">
          <cell r="A38" t="str">
            <v>0005-1005-0001</v>
          </cell>
          <cell r="B38" t="str">
            <v>C42</v>
          </cell>
        </row>
        <row r="39">
          <cell r="A39" t="str">
            <v>0005-1006-0001</v>
          </cell>
          <cell r="B39" t="str">
            <v>C42</v>
          </cell>
        </row>
        <row r="40">
          <cell r="A40" t="str">
            <v>0005-1012-0001</v>
          </cell>
          <cell r="B40" t="str">
            <v>C42</v>
          </cell>
        </row>
        <row r="41">
          <cell r="A41" t="str">
            <v>0005-1013-0001</v>
          </cell>
          <cell r="B41" t="str">
            <v>C42</v>
          </cell>
        </row>
        <row r="42">
          <cell r="A42" t="str">
            <v>0007-1001-0006</v>
          </cell>
          <cell r="B42" t="str">
            <v>C43</v>
          </cell>
        </row>
        <row r="43">
          <cell r="A43" t="str">
            <v>0090-1001-0104</v>
          </cell>
          <cell r="B43" t="str">
            <v>C43</v>
          </cell>
        </row>
        <row r="44">
          <cell r="A44" t="str">
            <v>0020-1004-0061</v>
          </cell>
          <cell r="B44" t="str">
            <v>C44</v>
          </cell>
        </row>
        <row r="45">
          <cell r="A45" t="str">
            <v>0020-1005-0061</v>
          </cell>
          <cell r="B45" t="str">
            <v>C44</v>
          </cell>
        </row>
        <row r="46">
          <cell r="A46" t="str">
            <v>0020-1006-0061</v>
          </cell>
          <cell r="B46" t="str">
            <v>C44</v>
          </cell>
        </row>
        <row r="47">
          <cell r="A47" t="str">
            <v>0009-1001-0014</v>
          </cell>
          <cell r="B47" t="str">
            <v>C46</v>
          </cell>
        </row>
        <row r="48">
          <cell r="A48" t="str">
            <v>0090-1001-0100</v>
          </cell>
          <cell r="B48" t="str">
            <v>C47</v>
          </cell>
        </row>
        <row r="49">
          <cell r="A49" t="str">
            <v>0090-1001-0101</v>
          </cell>
          <cell r="B49" t="str">
            <v>C47</v>
          </cell>
        </row>
        <row r="50">
          <cell r="A50" t="str">
            <v>0090-1001-0102</v>
          </cell>
          <cell r="B50" t="str">
            <v>C47</v>
          </cell>
        </row>
        <row r="51">
          <cell r="A51" t="str">
            <v>0009-1004-0014</v>
          </cell>
          <cell r="B51" t="str">
            <v>C48</v>
          </cell>
        </row>
        <row r="52">
          <cell r="A52" t="str">
            <v>0009-1005-0014</v>
          </cell>
          <cell r="B52" t="str">
            <v>C48</v>
          </cell>
        </row>
        <row r="53">
          <cell r="A53" t="str">
            <v>0009-1006-0014</v>
          </cell>
          <cell r="B53" t="str">
            <v>C48</v>
          </cell>
        </row>
        <row r="54">
          <cell r="A54" t="str">
            <v>0009-1002-0014</v>
          </cell>
          <cell r="B54" t="str">
            <v>C49</v>
          </cell>
        </row>
        <row r="55">
          <cell r="A55" t="str">
            <v>0009-1003-0014</v>
          </cell>
          <cell r="B55" t="str">
            <v>C49</v>
          </cell>
        </row>
        <row r="56">
          <cell r="A56" t="str">
            <v>0009-1012-0014</v>
          </cell>
          <cell r="B56" t="str">
            <v>C49</v>
          </cell>
        </row>
        <row r="57">
          <cell r="A57" t="str">
            <v>0009-1013-0014</v>
          </cell>
          <cell r="B57" t="str">
            <v>C49</v>
          </cell>
        </row>
        <row r="58">
          <cell r="A58" t="str">
            <v>0009-1014-0014</v>
          </cell>
          <cell r="B58" t="str">
            <v>C49</v>
          </cell>
        </row>
        <row r="59">
          <cell r="A59" t="str">
            <v>0092-1010-0108</v>
          </cell>
          <cell r="B59" t="str">
            <v>C51</v>
          </cell>
        </row>
        <row r="60">
          <cell r="A60" t="str">
            <v>0091-1010-0106</v>
          </cell>
          <cell r="B60" t="str">
            <v>C52</v>
          </cell>
        </row>
        <row r="61">
          <cell r="A61" t="str">
            <v>0092-1001-0103</v>
          </cell>
          <cell r="B61" t="str">
            <v>C57</v>
          </cell>
        </row>
        <row r="62">
          <cell r="A62" t="str">
            <v>0092-1001-0104</v>
          </cell>
          <cell r="B62" t="str">
            <v>C57</v>
          </cell>
        </row>
        <row r="63">
          <cell r="A63" t="str">
            <v>0092-1001-0107</v>
          </cell>
          <cell r="B63" t="str">
            <v>C57</v>
          </cell>
        </row>
        <row r="64">
          <cell r="A64" t="str">
            <v>0006-1001-0002</v>
          </cell>
          <cell r="B64" t="str">
            <v>C61</v>
          </cell>
        </row>
        <row r="65">
          <cell r="A65" t="str">
            <v>0009-1001-0013</v>
          </cell>
          <cell r="B65" t="str">
            <v>C62</v>
          </cell>
        </row>
        <row r="66">
          <cell r="A66" t="str">
            <v>0006-1001-0004</v>
          </cell>
          <cell r="B66" t="str">
            <v>C63</v>
          </cell>
        </row>
        <row r="67">
          <cell r="A67" t="str">
            <v>0006-1009-0004</v>
          </cell>
          <cell r="B67" t="str">
            <v>C63</v>
          </cell>
        </row>
        <row r="68">
          <cell r="A68" t="str">
            <v>0006-1004-0005</v>
          </cell>
          <cell r="B68" t="str">
            <v>C64</v>
          </cell>
        </row>
        <row r="69">
          <cell r="A69" t="str">
            <v>0006-1005-0005</v>
          </cell>
          <cell r="B69" t="str">
            <v>C64</v>
          </cell>
        </row>
        <row r="70">
          <cell r="A70" t="str">
            <v>0006-1006-0005</v>
          </cell>
          <cell r="B70" t="str">
            <v>C64</v>
          </cell>
        </row>
        <row r="71">
          <cell r="A71" t="str">
            <v>0006-1010-0005</v>
          </cell>
          <cell r="B71" t="str">
            <v>C65</v>
          </cell>
        </row>
        <row r="72">
          <cell r="A72" t="str">
            <v>0006-1001-0030</v>
          </cell>
          <cell r="B72" t="str">
            <v>C66</v>
          </cell>
        </row>
        <row r="73">
          <cell r="A73" t="str">
            <v>0006-1009-0009</v>
          </cell>
          <cell r="B73" t="str">
            <v>C67</v>
          </cell>
        </row>
        <row r="74">
          <cell r="A74" t="str">
            <v>0009-1001-0025</v>
          </cell>
          <cell r="B74" t="str">
            <v>C68</v>
          </cell>
        </row>
        <row r="75">
          <cell r="A75" t="str">
            <v>0009-1009-0009</v>
          </cell>
          <cell r="B75" t="str">
            <v>C69</v>
          </cell>
        </row>
        <row r="76">
          <cell r="A76" t="str">
            <v>0008-1005-0012</v>
          </cell>
          <cell r="B76" t="str">
            <v>C73</v>
          </cell>
        </row>
        <row r="77">
          <cell r="A77" t="str">
            <v>0008-1002-0012</v>
          </cell>
          <cell r="B77" t="str">
            <v>C74</v>
          </cell>
        </row>
        <row r="78">
          <cell r="A78" t="str">
            <v>0008-1012-0012</v>
          </cell>
          <cell r="B78" t="str">
            <v>C75</v>
          </cell>
        </row>
        <row r="79">
          <cell r="A79" t="str">
            <v>0008-1013-0012</v>
          </cell>
          <cell r="B79" t="str">
            <v>C76</v>
          </cell>
        </row>
        <row r="80">
          <cell r="A80" t="str">
            <v>0008-1003-0012</v>
          </cell>
          <cell r="B80" t="str">
            <v>C77</v>
          </cell>
        </row>
        <row r="81">
          <cell r="A81" t="str">
            <v>0008-1001-0021</v>
          </cell>
          <cell r="B81" t="str">
            <v>C84</v>
          </cell>
        </row>
        <row r="82">
          <cell r="A82" t="str">
            <v>0008-1001-0022</v>
          </cell>
          <cell r="B82" t="str">
            <v>C86</v>
          </cell>
        </row>
        <row r="83">
          <cell r="A83" t="str">
            <v>0008-1004-0012</v>
          </cell>
          <cell r="B83" t="str">
            <v>C93</v>
          </cell>
        </row>
        <row r="84">
          <cell r="A84" t="str">
            <v>0008-1010-0017</v>
          </cell>
          <cell r="B84" t="str">
            <v>C94</v>
          </cell>
        </row>
        <row r="85">
          <cell r="A85" t="str">
            <v>0008-1001-0012</v>
          </cell>
          <cell r="B85" t="str">
            <v>C95</v>
          </cell>
        </row>
        <row r="86">
          <cell r="A86" t="str">
            <v>0008-1006-0012</v>
          </cell>
          <cell r="B86" t="str">
            <v>C96</v>
          </cell>
        </row>
        <row r="87">
          <cell r="A87" t="str">
            <v>0008-1009-0009</v>
          </cell>
          <cell r="B87" t="str">
            <v>C97</v>
          </cell>
        </row>
        <row r="88">
          <cell r="A88" t="str">
            <v>0008-1001-0007</v>
          </cell>
          <cell r="B88" t="str">
            <v>C99</v>
          </cell>
        </row>
        <row r="89">
          <cell r="A89" t="str">
            <v>0001-1001-0026</v>
          </cell>
          <cell r="B89" t="str">
            <v>D11</v>
          </cell>
        </row>
        <row r="90">
          <cell r="A90" t="str">
            <v>0001-1001-0027</v>
          </cell>
          <cell r="B90" t="str">
            <v>D21</v>
          </cell>
        </row>
        <row r="91">
          <cell r="A91" t="str">
            <v>0002-1001-0028</v>
          </cell>
          <cell r="B91" t="str">
            <v>D51</v>
          </cell>
        </row>
        <row r="92">
          <cell r="A92" t="str">
            <v>0002-1001-0029</v>
          </cell>
          <cell r="B92" t="str">
            <v>D52</v>
          </cell>
        </row>
        <row r="93">
          <cell r="A93" t="str">
            <v>0002-1010-0028</v>
          </cell>
          <cell r="B93" t="str">
            <v>D55</v>
          </cell>
        </row>
        <row r="94">
          <cell r="A94" t="str">
            <v>0001-1002-0003</v>
          </cell>
          <cell r="B94" t="str">
            <v>D71</v>
          </cell>
        </row>
        <row r="95">
          <cell r="A95" t="str">
            <v>0001-1003-0003</v>
          </cell>
          <cell r="B95" t="str">
            <v>D71</v>
          </cell>
        </row>
        <row r="96">
          <cell r="A96" t="str">
            <v>0001-1012-0003</v>
          </cell>
          <cell r="B96" t="str">
            <v>D71</v>
          </cell>
        </row>
        <row r="97">
          <cell r="A97" t="str">
            <v>0001-1013-0003</v>
          </cell>
          <cell r="B97" t="str">
            <v>D71</v>
          </cell>
        </row>
        <row r="98">
          <cell r="A98" t="str">
            <v>0002-1002-0005</v>
          </cell>
          <cell r="B98" t="str">
            <v>D72</v>
          </cell>
        </row>
        <row r="99">
          <cell r="A99" t="str">
            <v>0002-1003-0005</v>
          </cell>
          <cell r="B99" t="str">
            <v>D72</v>
          </cell>
        </row>
        <row r="100">
          <cell r="A100" t="str">
            <v>0002-1012-0005</v>
          </cell>
          <cell r="B100" t="str">
            <v>D72</v>
          </cell>
        </row>
        <row r="101">
          <cell r="A101" t="str">
            <v>0002-1013-0005</v>
          </cell>
          <cell r="B101" t="str">
            <v>D72</v>
          </cell>
        </row>
        <row r="102">
          <cell r="A102" t="str">
            <v>0014-1002-0042</v>
          </cell>
          <cell r="B102" t="str">
            <v>D75</v>
          </cell>
        </row>
        <row r="103">
          <cell r="A103" t="str">
            <v>0014-1003-0042</v>
          </cell>
          <cell r="B103" t="str">
            <v>D75</v>
          </cell>
        </row>
        <row r="104">
          <cell r="A104" t="str">
            <v>0014-1012-0042</v>
          </cell>
          <cell r="B104" t="str">
            <v>D75</v>
          </cell>
        </row>
        <row r="105">
          <cell r="A105" t="str">
            <v>0014-1013-0042</v>
          </cell>
          <cell r="B105" t="str">
            <v>D75</v>
          </cell>
        </row>
        <row r="106">
          <cell r="A106" t="str">
            <v>0002-1014-0042</v>
          </cell>
          <cell r="B106" t="str">
            <v>D76</v>
          </cell>
        </row>
        <row r="107">
          <cell r="A107" t="str">
            <v>0001-1010-0003</v>
          </cell>
          <cell r="B107" t="str">
            <v>D81</v>
          </cell>
        </row>
        <row r="108">
          <cell r="A108" t="str">
            <v>0002-1010-0004</v>
          </cell>
          <cell r="B108" t="str">
            <v>D82</v>
          </cell>
        </row>
        <row r="109">
          <cell r="A109" t="str">
            <v>0002-1010-0005</v>
          </cell>
          <cell r="B109" t="str">
            <v>D82</v>
          </cell>
        </row>
        <row r="110">
          <cell r="A110" t="str">
            <v>0001-1009-0003</v>
          </cell>
          <cell r="B110" t="str">
            <v>D85</v>
          </cell>
        </row>
        <row r="111">
          <cell r="A111" t="str">
            <v>0001-1000-0003</v>
          </cell>
          <cell r="B111" t="str">
            <v>D91</v>
          </cell>
        </row>
        <row r="112">
          <cell r="A112" t="str">
            <v>0001-1004-0003</v>
          </cell>
          <cell r="B112" t="str">
            <v>D91</v>
          </cell>
        </row>
        <row r="113">
          <cell r="A113" t="str">
            <v>0001-1005-0003</v>
          </cell>
          <cell r="B113" t="str">
            <v>D91</v>
          </cell>
        </row>
        <row r="114">
          <cell r="A114" t="str">
            <v>0001-1006-0003</v>
          </cell>
          <cell r="B114" t="str">
            <v>D91</v>
          </cell>
        </row>
        <row r="115">
          <cell r="A115" t="str">
            <v>0002-1000-0005</v>
          </cell>
          <cell r="B115" t="str">
            <v>D92</v>
          </cell>
        </row>
        <row r="116">
          <cell r="A116" t="str">
            <v>0002-1004-0005</v>
          </cell>
          <cell r="B116" t="str">
            <v>D92</v>
          </cell>
        </row>
        <row r="117">
          <cell r="A117" t="str">
            <v>0002-1005-0005</v>
          </cell>
          <cell r="B117" t="str">
            <v>D92</v>
          </cell>
        </row>
        <row r="118">
          <cell r="A118" t="str">
            <v>0002-1006-0005</v>
          </cell>
          <cell r="B118" t="str">
            <v>D92</v>
          </cell>
        </row>
        <row r="119">
          <cell r="A119" t="str">
            <v>0001-1014-0003</v>
          </cell>
          <cell r="B119" t="str">
            <v>D93</v>
          </cell>
        </row>
        <row r="120">
          <cell r="A120" t="str">
            <v>0002-1002-0043</v>
          </cell>
          <cell r="B120" t="str">
            <v>D94</v>
          </cell>
        </row>
        <row r="121">
          <cell r="A121" t="str">
            <v>0002-1003-0043</v>
          </cell>
          <cell r="B121" t="str">
            <v>D94</v>
          </cell>
        </row>
        <row r="122">
          <cell r="A122" t="str">
            <v>0002-1004-0043</v>
          </cell>
          <cell r="B122" t="str">
            <v>D94</v>
          </cell>
        </row>
        <row r="123">
          <cell r="A123" t="str">
            <v>0002-1005-0043</v>
          </cell>
          <cell r="B123" t="str">
            <v>D94</v>
          </cell>
        </row>
        <row r="124">
          <cell r="A124" t="str">
            <v>0002-1006-0043</v>
          </cell>
          <cell r="B124" t="str">
            <v>D94</v>
          </cell>
        </row>
        <row r="125">
          <cell r="A125" t="str">
            <v>0002-1012-0043</v>
          </cell>
          <cell r="B125" t="str">
            <v>D94</v>
          </cell>
        </row>
        <row r="126">
          <cell r="A126" t="str">
            <v>0002-1013-0043</v>
          </cell>
          <cell r="B126" t="str">
            <v>D94</v>
          </cell>
        </row>
        <row r="127">
          <cell r="A127" t="str">
            <v>0014-1004-0042</v>
          </cell>
          <cell r="B127" t="str">
            <v>D95</v>
          </cell>
        </row>
        <row r="128">
          <cell r="A128" t="str">
            <v>0014-1005-0042</v>
          </cell>
          <cell r="B128" t="str">
            <v>D95</v>
          </cell>
        </row>
        <row r="129">
          <cell r="A129" t="str">
            <v>0014-1006-0042</v>
          </cell>
          <cell r="B129" t="str">
            <v>D95</v>
          </cell>
        </row>
        <row r="130">
          <cell r="A130" t="str">
            <v>0001-1001-0003</v>
          </cell>
          <cell r="B130" t="str">
            <v>D96</v>
          </cell>
        </row>
        <row r="131">
          <cell r="A131" t="str">
            <v>0002-1001-0005</v>
          </cell>
          <cell r="B131" t="str">
            <v>D97</v>
          </cell>
        </row>
        <row r="132">
          <cell r="A132" t="str">
            <v>0001-1001-0044</v>
          </cell>
          <cell r="B132" t="str">
            <v>D98</v>
          </cell>
        </row>
        <row r="133">
          <cell r="A133" t="str">
            <v>0002-1009-0009</v>
          </cell>
          <cell r="B133" t="str">
            <v>D99</v>
          </cell>
        </row>
        <row r="134">
          <cell r="A134" t="str">
            <v>0004-1001-0025</v>
          </cell>
          <cell r="B134" t="str">
            <v>E61</v>
          </cell>
        </row>
        <row r="135">
          <cell r="A135" t="str">
            <v>0004-1010-0025</v>
          </cell>
          <cell r="B135" t="str">
            <v>E65</v>
          </cell>
        </row>
        <row r="136">
          <cell r="A136" t="str">
            <v>0015-1002-0035</v>
          </cell>
          <cell r="B136" t="str">
            <v>E71</v>
          </cell>
        </row>
        <row r="137">
          <cell r="A137" t="str">
            <v>0015-1003-0035</v>
          </cell>
          <cell r="B137" t="str">
            <v>E71</v>
          </cell>
        </row>
        <row r="138">
          <cell r="A138" t="str">
            <v>0015-1012-0035</v>
          </cell>
          <cell r="B138" t="str">
            <v>E71</v>
          </cell>
        </row>
        <row r="139">
          <cell r="A139" t="str">
            <v>0015-1013-0035</v>
          </cell>
          <cell r="B139" t="str">
            <v>E71</v>
          </cell>
        </row>
        <row r="140">
          <cell r="A140" t="str">
            <v>0004-1002-0012</v>
          </cell>
          <cell r="B140" t="str">
            <v>E72</v>
          </cell>
        </row>
        <row r="141">
          <cell r="A141" t="str">
            <v>0004-1003-0012</v>
          </cell>
          <cell r="B141" t="str">
            <v>E72</v>
          </cell>
        </row>
        <row r="142">
          <cell r="A142" t="str">
            <v>0004-1008-0012</v>
          </cell>
          <cell r="B142" t="str">
            <v>E72</v>
          </cell>
        </row>
        <row r="143">
          <cell r="A143" t="str">
            <v>0004-1012-0012</v>
          </cell>
          <cell r="B143" t="str">
            <v>E72</v>
          </cell>
        </row>
        <row r="144">
          <cell r="A144" t="str">
            <v>0004-1013-0012</v>
          </cell>
          <cell r="B144" t="str">
            <v>E72</v>
          </cell>
        </row>
        <row r="145">
          <cell r="A145" t="str">
            <v>0004-1014-0012</v>
          </cell>
          <cell r="B145" t="str">
            <v>E75</v>
          </cell>
        </row>
        <row r="146">
          <cell r="A146" t="str">
            <v>0004-1010-0012</v>
          </cell>
          <cell r="B146" t="str">
            <v>E82</v>
          </cell>
        </row>
        <row r="147">
          <cell r="A147" t="str">
            <v>0015-1004-0035</v>
          </cell>
          <cell r="B147" t="str">
            <v>E91</v>
          </cell>
        </row>
        <row r="148">
          <cell r="A148" t="str">
            <v>0015-1005-0035</v>
          </cell>
          <cell r="B148" t="str">
            <v>E91</v>
          </cell>
        </row>
        <row r="149">
          <cell r="A149" t="str">
            <v>0015-1006-0035</v>
          </cell>
          <cell r="B149" t="str">
            <v>E91</v>
          </cell>
        </row>
        <row r="150">
          <cell r="A150" t="str">
            <v>0004-1004-0012</v>
          </cell>
          <cell r="B150" t="str">
            <v>E92</v>
          </cell>
        </row>
        <row r="151">
          <cell r="A151" t="str">
            <v>0004-1005-0012</v>
          </cell>
          <cell r="B151" t="str">
            <v>E92</v>
          </cell>
        </row>
        <row r="152">
          <cell r="A152" t="str">
            <v>0004-1006-0012</v>
          </cell>
          <cell r="B152" t="str">
            <v>E92</v>
          </cell>
        </row>
        <row r="153">
          <cell r="A153" t="str">
            <v>0004-1000-0012</v>
          </cell>
          <cell r="B153" t="str">
            <v>E93</v>
          </cell>
        </row>
        <row r="154">
          <cell r="A154" t="str">
            <v>0011-1008-0300</v>
          </cell>
          <cell r="B154" t="str">
            <v>F12</v>
          </cell>
        </row>
        <row r="155">
          <cell r="A155" t="str">
            <v>0011-1008-0300</v>
          </cell>
          <cell r="B155" t="str">
            <v>F13</v>
          </cell>
        </row>
        <row r="156">
          <cell r="A156" t="str">
            <v>0011-1002-0012</v>
          </cell>
          <cell r="B156" t="str">
            <v>F20</v>
          </cell>
        </row>
        <row r="157">
          <cell r="A157" t="str">
            <v>0011-1002-0052</v>
          </cell>
          <cell r="B157" t="str">
            <v>F20</v>
          </cell>
        </row>
        <row r="158">
          <cell r="A158" t="str">
            <v>0011-1002-0056</v>
          </cell>
          <cell r="B158" t="str">
            <v>F20</v>
          </cell>
        </row>
        <row r="159">
          <cell r="A159" t="str">
            <v>0012-1002-0012</v>
          </cell>
          <cell r="B159" t="str">
            <v>F22</v>
          </cell>
        </row>
        <row r="160">
          <cell r="A160" t="str">
            <v>0012-1002-0052</v>
          </cell>
          <cell r="B160" t="str">
            <v>F22</v>
          </cell>
        </row>
        <row r="161">
          <cell r="A161" t="str">
            <v>0012-1002-0056</v>
          </cell>
          <cell r="B161" t="str">
            <v>F22</v>
          </cell>
        </row>
        <row r="162">
          <cell r="A162" t="str">
            <v>0011-1008-0300</v>
          </cell>
          <cell r="B162" t="str">
            <v>F23</v>
          </cell>
        </row>
        <row r="163">
          <cell r="A163" t="str">
            <v>0031-1000-0012</v>
          </cell>
          <cell r="B163" t="str">
            <v>F27</v>
          </cell>
        </row>
        <row r="164">
          <cell r="A164" t="str">
            <v>0011-1008-0300</v>
          </cell>
          <cell r="B164" t="str">
            <v>F28</v>
          </cell>
        </row>
        <row r="165">
          <cell r="A165" t="str">
            <v>0093-1000-0105</v>
          </cell>
          <cell r="B165" t="str">
            <v>F30</v>
          </cell>
        </row>
        <row r="166">
          <cell r="A166" t="str">
            <v>0094-1000-0105</v>
          </cell>
          <cell r="B166" t="str">
            <v>F31</v>
          </cell>
        </row>
        <row r="167">
          <cell r="A167" t="str">
            <v>0013-1002-0035</v>
          </cell>
          <cell r="B167" t="str">
            <v>F32</v>
          </cell>
        </row>
        <row r="168">
          <cell r="A168" t="str">
            <v>0021-1000-0036</v>
          </cell>
          <cell r="B168" t="str">
            <v>F51</v>
          </cell>
        </row>
        <row r="169">
          <cell r="A169" t="str">
            <v>0022-1000-0036</v>
          </cell>
          <cell r="B169" t="str">
            <v>F51</v>
          </cell>
        </row>
        <row r="170">
          <cell r="A170" t="str">
            <v>0029-1000-0012</v>
          </cell>
          <cell r="B170" t="str">
            <v>F51</v>
          </cell>
        </row>
        <row r="171">
          <cell r="A171" t="str">
            <v>0030-1000-0012</v>
          </cell>
          <cell r="B171" t="str">
            <v>F51</v>
          </cell>
        </row>
        <row r="172">
          <cell r="A172" t="str">
            <v>0011-1008-0300</v>
          </cell>
          <cell r="B172" t="str">
            <v>F53</v>
          </cell>
        </row>
        <row r="173">
          <cell r="A173" t="str">
            <v>0011-1008-0300</v>
          </cell>
          <cell r="B173" t="str">
            <v>F58</v>
          </cell>
        </row>
        <row r="174">
          <cell r="A174" t="str">
            <v>0003-1002-0012</v>
          </cell>
          <cell r="B174" t="str">
            <v>F61</v>
          </cell>
        </row>
        <row r="175">
          <cell r="A175" t="str">
            <v>0003-1002-0057</v>
          </cell>
          <cell r="B175" t="str">
            <v>F61</v>
          </cell>
        </row>
        <row r="176">
          <cell r="A176" t="str">
            <v>0095-9001-0105</v>
          </cell>
          <cell r="B176" t="str">
            <v>G11</v>
          </cell>
        </row>
        <row r="177">
          <cell r="A177" t="str">
            <v>0099-1099-0200</v>
          </cell>
          <cell r="B177" t="str">
            <v>H99</v>
          </cell>
        </row>
        <row r="178">
          <cell r="A178" t="str">
            <v>0011-1012-0012</v>
          </cell>
          <cell r="B178" t="str">
            <v>K11</v>
          </cell>
        </row>
        <row r="179">
          <cell r="A179" t="str">
            <v>0011-1012-0052</v>
          </cell>
          <cell r="B179" t="str">
            <v>K11</v>
          </cell>
        </row>
        <row r="180">
          <cell r="A180" t="str">
            <v>0011-1012-0056</v>
          </cell>
          <cell r="B180" t="str">
            <v>K11</v>
          </cell>
        </row>
        <row r="181">
          <cell r="A181" t="str">
            <v>0012-1012-0012</v>
          </cell>
          <cell r="B181" t="str">
            <v>K12</v>
          </cell>
        </row>
        <row r="182">
          <cell r="A182" t="str">
            <v>0012-1012-0052</v>
          </cell>
          <cell r="B182" t="str">
            <v>K12</v>
          </cell>
        </row>
        <row r="183">
          <cell r="A183" t="str">
            <v>0012-1012-0056</v>
          </cell>
          <cell r="B183" t="str">
            <v>K12</v>
          </cell>
        </row>
        <row r="184">
          <cell r="A184" t="str">
            <v>0011-1012-0038</v>
          </cell>
          <cell r="B184" t="str">
            <v>K14</v>
          </cell>
        </row>
        <row r="185">
          <cell r="A185" t="str">
            <v>0012-1012-0038</v>
          </cell>
          <cell r="B185" t="str">
            <v>K15</v>
          </cell>
        </row>
        <row r="186">
          <cell r="A186" t="str">
            <v>0011-1012-0048</v>
          </cell>
          <cell r="B186" t="str">
            <v>K21</v>
          </cell>
        </row>
        <row r="187">
          <cell r="A187" t="str">
            <v>0012-1012-0048</v>
          </cell>
          <cell r="B187" t="str">
            <v>K22</v>
          </cell>
        </row>
        <row r="188">
          <cell r="A188" t="str">
            <v>0011-1014-0048</v>
          </cell>
          <cell r="B188" t="str">
            <v>K23</v>
          </cell>
        </row>
        <row r="189">
          <cell r="A189" t="str">
            <v>0011-1014-0039</v>
          </cell>
          <cell r="B189" t="str">
            <v>K24</v>
          </cell>
        </row>
        <row r="190">
          <cell r="A190" t="str">
            <v>0012-1014-0039</v>
          </cell>
          <cell r="B190" t="str">
            <v>K25</v>
          </cell>
        </row>
        <row r="191">
          <cell r="A191" t="str">
            <v>0013-1012-0035</v>
          </cell>
          <cell r="B191" t="str">
            <v>K41</v>
          </cell>
        </row>
        <row r="192">
          <cell r="A192" t="str">
            <v>0013-1014-0035</v>
          </cell>
          <cell r="B192" t="str">
            <v>K42</v>
          </cell>
        </row>
        <row r="193">
          <cell r="A193" t="str">
            <v>0003-1012-0012</v>
          </cell>
          <cell r="B193" t="str">
            <v>K51</v>
          </cell>
        </row>
        <row r="194">
          <cell r="A194" t="str">
            <v>0003-1012-0057</v>
          </cell>
          <cell r="B194" t="str">
            <v>K51</v>
          </cell>
        </row>
        <row r="195">
          <cell r="A195" t="str">
            <v>0003-1014-0039</v>
          </cell>
          <cell r="B195" t="str">
            <v>K54</v>
          </cell>
        </row>
        <row r="196">
          <cell r="A196" t="str">
            <v>0003-1012-0038</v>
          </cell>
          <cell r="B196" t="str">
            <v>K55</v>
          </cell>
        </row>
        <row r="197">
          <cell r="A197" t="str">
            <v>0003-1012-0048</v>
          </cell>
          <cell r="B197" t="str">
            <v>K56</v>
          </cell>
        </row>
        <row r="198">
          <cell r="A198" t="str">
            <v>0003-1012-0047</v>
          </cell>
          <cell r="B198" t="str">
            <v>K57</v>
          </cell>
        </row>
        <row r="199">
          <cell r="A199" t="str">
            <v>0011-1004-0012</v>
          </cell>
          <cell r="B199" t="str">
            <v>L11</v>
          </cell>
        </row>
        <row r="200">
          <cell r="A200" t="str">
            <v>0012-1004-0012</v>
          </cell>
          <cell r="B200" t="str">
            <v>L12</v>
          </cell>
        </row>
        <row r="201">
          <cell r="A201" t="str">
            <v>0011-1006-0012</v>
          </cell>
          <cell r="B201" t="str">
            <v>L13</v>
          </cell>
        </row>
        <row r="202">
          <cell r="A202" t="str">
            <v>0011-1004-0038</v>
          </cell>
          <cell r="B202" t="str">
            <v>L14</v>
          </cell>
        </row>
        <row r="203">
          <cell r="A203" t="str">
            <v>0012-1004-0038</v>
          </cell>
          <cell r="B203" t="str">
            <v>L15</v>
          </cell>
        </row>
        <row r="204">
          <cell r="A204" t="str">
            <v>0012-1006-0012</v>
          </cell>
          <cell r="B204" t="str">
            <v>L16</v>
          </cell>
        </row>
        <row r="205">
          <cell r="A205" t="str">
            <v>0011-1004-0047</v>
          </cell>
          <cell r="B205" t="str">
            <v>L17</v>
          </cell>
        </row>
        <row r="206">
          <cell r="A206" t="str">
            <v>0012-1004-0047</v>
          </cell>
          <cell r="B206" t="str">
            <v>L19</v>
          </cell>
        </row>
        <row r="207">
          <cell r="A207" t="str">
            <v>0011-1004-0048</v>
          </cell>
          <cell r="B207" t="str">
            <v>L21</v>
          </cell>
        </row>
        <row r="208">
          <cell r="A208" t="str">
            <v>0012-1004-0048</v>
          </cell>
          <cell r="B208" t="str">
            <v>L22</v>
          </cell>
        </row>
        <row r="209">
          <cell r="A209" t="str">
            <v>0013-1004-0035</v>
          </cell>
          <cell r="B209" t="str">
            <v>L41</v>
          </cell>
        </row>
        <row r="210">
          <cell r="A210" t="str">
            <v>0013-1004-0041</v>
          </cell>
          <cell r="B210" t="str">
            <v>L42</v>
          </cell>
        </row>
        <row r="211">
          <cell r="A211" t="str">
            <v>0025-1004-0058</v>
          </cell>
          <cell r="B211" t="str">
            <v>L44</v>
          </cell>
        </row>
        <row r="212">
          <cell r="A212" t="str">
            <v>0026-1004-0058</v>
          </cell>
          <cell r="B212" t="str">
            <v>L44</v>
          </cell>
        </row>
        <row r="213">
          <cell r="A213" t="str">
            <v>0027-1004-0058</v>
          </cell>
          <cell r="B213" t="str">
            <v>L44</v>
          </cell>
        </row>
        <row r="214">
          <cell r="A214" t="str">
            <v>0025-1002-0058</v>
          </cell>
          <cell r="B214" t="str">
            <v>L45</v>
          </cell>
        </row>
        <row r="215">
          <cell r="A215" t="str">
            <v>0026-1002-0058</v>
          </cell>
          <cell r="B215" t="str">
            <v>L45</v>
          </cell>
        </row>
        <row r="216">
          <cell r="A216" t="str">
            <v>0027-1002-0058</v>
          </cell>
          <cell r="B216" t="str">
            <v>L45</v>
          </cell>
        </row>
        <row r="217">
          <cell r="A217" t="str">
            <v>0028-1002-0058</v>
          </cell>
          <cell r="B217" t="str">
            <v>L45</v>
          </cell>
        </row>
        <row r="218">
          <cell r="A218" t="str">
            <v>0025-1002-0059</v>
          </cell>
          <cell r="B218" t="str">
            <v>L46</v>
          </cell>
        </row>
        <row r="219">
          <cell r="A219" t="str">
            <v>0026-1002-0059</v>
          </cell>
          <cell r="B219" t="str">
            <v>L46</v>
          </cell>
        </row>
        <row r="220">
          <cell r="A220" t="str">
            <v>0013-1006-0035</v>
          </cell>
          <cell r="B220" t="str">
            <v>L49</v>
          </cell>
        </row>
        <row r="221">
          <cell r="A221" t="str">
            <v>0003-1004-0012</v>
          </cell>
          <cell r="B221" t="str">
            <v>L51</v>
          </cell>
        </row>
        <row r="222">
          <cell r="A222" t="str">
            <v>0003-1006-0012</v>
          </cell>
          <cell r="B222" t="str">
            <v>L52</v>
          </cell>
        </row>
        <row r="223">
          <cell r="A223" t="str">
            <v>0003-1004-0038</v>
          </cell>
          <cell r="B223" t="str">
            <v>L55</v>
          </cell>
        </row>
        <row r="224">
          <cell r="A224" t="str">
            <v>0003-1004-0047</v>
          </cell>
          <cell r="B224" t="str">
            <v>L57</v>
          </cell>
        </row>
        <row r="225">
          <cell r="A225" t="str">
            <v>0018-1009-0045</v>
          </cell>
          <cell r="B225" t="str">
            <v>M61</v>
          </cell>
        </row>
        <row r="226">
          <cell r="A226" t="str">
            <v>0018-1009-0060</v>
          </cell>
          <cell r="B226" t="str">
            <v>M61</v>
          </cell>
        </row>
        <row r="227">
          <cell r="A227" t="str">
            <v>0018-1002-0049</v>
          </cell>
          <cell r="B227" t="str">
            <v>M71</v>
          </cell>
        </row>
        <row r="228">
          <cell r="A228" t="str">
            <v>0018-1003-0049</v>
          </cell>
          <cell r="B228" t="str">
            <v>M71</v>
          </cell>
        </row>
        <row r="229">
          <cell r="A229" t="str">
            <v>0018-1012-0049</v>
          </cell>
          <cell r="B229" t="str">
            <v>M71</v>
          </cell>
        </row>
        <row r="230">
          <cell r="A230" t="str">
            <v>0018-1013-0049</v>
          </cell>
          <cell r="B230" t="str">
            <v>M71</v>
          </cell>
        </row>
        <row r="231">
          <cell r="A231" t="str">
            <v>0018-1002-0050</v>
          </cell>
          <cell r="B231" t="str">
            <v>M72</v>
          </cell>
        </row>
        <row r="232">
          <cell r="A232" t="str">
            <v>0018-1003-0050</v>
          </cell>
          <cell r="B232" t="str">
            <v>M72</v>
          </cell>
        </row>
        <row r="233">
          <cell r="A233" t="str">
            <v>0018-1012-0050</v>
          </cell>
          <cell r="B233" t="str">
            <v>M72</v>
          </cell>
        </row>
        <row r="234">
          <cell r="A234" t="str">
            <v>0018-1013-0050</v>
          </cell>
          <cell r="B234" t="str">
            <v>M72</v>
          </cell>
        </row>
        <row r="235">
          <cell r="A235" t="str">
            <v>0018-1002-0051</v>
          </cell>
          <cell r="B235" t="str">
            <v>M73</v>
          </cell>
        </row>
        <row r="236">
          <cell r="A236" t="str">
            <v>0018-1003-0051</v>
          </cell>
          <cell r="B236" t="str">
            <v>M73</v>
          </cell>
        </row>
        <row r="237">
          <cell r="A237" t="str">
            <v>0018-1012-0051</v>
          </cell>
          <cell r="B237" t="str">
            <v>M73</v>
          </cell>
        </row>
        <row r="238">
          <cell r="A238" t="str">
            <v>0018-1013-0051</v>
          </cell>
          <cell r="B238" t="str">
            <v>M73</v>
          </cell>
        </row>
        <row r="239">
          <cell r="A239" t="str">
            <v>0018-1004-0049</v>
          </cell>
          <cell r="B239" t="str">
            <v>M74</v>
          </cell>
        </row>
        <row r="240">
          <cell r="A240" t="str">
            <v>0018-1005-0049</v>
          </cell>
          <cell r="B240" t="str">
            <v>M74</v>
          </cell>
        </row>
        <row r="241">
          <cell r="A241" t="str">
            <v>0018-1006-0049</v>
          </cell>
          <cell r="B241" t="str">
            <v>M74</v>
          </cell>
        </row>
        <row r="242">
          <cell r="A242" t="str">
            <v>0018-1004-0050</v>
          </cell>
          <cell r="B242" t="str">
            <v>M75</v>
          </cell>
        </row>
        <row r="243">
          <cell r="A243" t="str">
            <v>0018-1005-0050</v>
          </cell>
          <cell r="B243" t="str">
            <v>M75</v>
          </cell>
        </row>
        <row r="244">
          <cell r="A244" t="str">
            <v>0018-1006-0050</v>
          </cell>
          <cell r="B244" t="str">
            <v>M75</v>
          </cell>
        </row>
        <row r="245">
          <cell r="A245" t="str">
            <v>0018-1004-0051</v>
          </cell>
          <cell r="B245" t="str">
            <v>M76</v>
          </cell>
        </row>
        <row r="246">
          <cell r="A246" t="str">
            <v>0018-1005-0051</v>
          </cell>
          <cell r="B246" t="str">
            <v>M76</v>
          </cell>
        </row>
        <row r="247">
          <cell r="A247" t="str">
            <v>0018-1006-0051</v>
          </cell>
          <cell r="B247" t="str">
            <v>M76</v>
          </cell>
        </row>
        <row r="248">
          <cell r="A248" t="str">
            <v>0018-1014-0049</v>
          </cell>
          <cell r="B248" t="str">
            <v>M77</v>
          </cell>
        </row>
        <row r="249">
          <cell r="A249" t="str">
            <v>0018-1008-0051</v>
          </cell>
          <cell r="B249" t="str">
            <v>M78</v>
          </cell>
        </row>
        <row r="250">
          <cell r="A250" t="str">
            <v>0018-1009-0046</v>
          </cell>
          <cell r="B250" t="str">
            <v>M92</v>
          </cell>
        </row>
        <row r="251">
          <cell r="A251" t="str">
            <v>0011-1005-0012</v>
          </cell>
          <cell r="B251" t="str">
            <v>N11</v>
          </cell>
        </row>
        <row r="252">
          <cell r="A252" t="str">
            <v>0011-1005-0020</v>
          </cell>
          <cell r="B252" t="str">
            <v>N12</v>
          </cell>
        </row>
        <row r="253">
          <cell r="A253" t="str">
            <v>0012-1005-0012</v>
          </cell>
          <cell r="B253" t="str">
            <v>N13</v>
          </cell>
        </row>
        <row r="254">
          <cell r="A254" t="str">
            <v>0012-1013-0012</v>
          </cell>
          <cell r="B254" t="str">
            <v>N14</v>
          </cell>
        </row>
        <row r="255">
          <cell r="A255" t="str">
            <v>0012-1013-0052</v>
          </cell>
          <cell r="B255" t="str">
            <v>N14</v>
          </cell>
        </row>
        <row r="256">
          <cell r="A256" t="str">
            <v>0012-1013-0056</v>
          </cell>
          <cell r="B256" t="str">
            <v>N14</v>
          </cell>
        </row>
        <row r="257">
          <cell r="A257" t="str">
            <v>0012-1003-0012</v>
          </cell>
          <cell r="B257" t="str">
            <v>N15</v>
          </cell>
        </row>
        <row r="258">
          <cell r="A258" t="str">
            <v>0012-1003-0052</v>
          </cell>
          <cell r="B258" t="str">
            <v>N15</v>
          </cell>
        </row>
        <row r="259">
          <cell r="A259" t="str">
            <v>0012-1003-0056</v>
          </cell>
          <cell r="B259" t="str">
            <v>N15</v>
          </cell>
        </row>
        <row r="260">
          <cell r="A260" t="str">
            <v>0011-1003-0012</v>
          </cell>
          <cell r="B260" t="str">
            <v>N16</v>
          </cell>
        </row>
        <row r="261">
          <cell r="A261" t="str">
            <v>0011-1003-0052</v>
          </cell>
          <cell r="B261" t="str">
            <v>N16</v>
          </cell>
        </row>
        <row r="262">
          <cell r="A262" t="str">
            <v>0011-1003-0056</v>
          </cell>
          <cell r="B262" t="str">
            <v>N16</v>
          </cell>
        </row>
        <row r="263">
          <cell r="A263" t="str">
            <v>0011-1005-0047</v>
          </cell>
          <cell r="B263" t="str">
            <v>N17</v>
          </cell>
        </row>
        <row r="264">
          <cell r="A264" t="str">
            <v>0012-1005-0047</v>
          </cell>
          <cell r="B264" t="str">
            <v>N19</v>
          </cell>
        </row>
        <row r="265">
          <cell r="A265" t="str">
            <v>0011-1013-0012</v>
          </cell>
          <cell r="B265" t="str">
            <v>N20</v>
          </cell>
        </row>
        <row r="266">
          <cell r="A266" t="str">
            <v>0011-1013-0052</v>
          </cell>
          <cell r="B266" t="str">
            <v>N20</v>
          </cell>
        </row>
        <row r="267">
          <cell r="A267" t="str">
            <v>0011-1013-0056</v>
          </cell>
          <cell r="B267" t="str">
            <v>N20</v>
          </cell>
        </row>
        <row r="268">
          <cell r="A268" t="str">
            <v>0011-1013-0048</v>
          </cell>
          <cell r="B268" t="str">
            <v>N21</v>
          </cell>
        </row>
        <row r="269">
          <cell r="A269" t="str">
            <v>0012-1013-0048</v>
          </cell>
          <cell r="B269" t="str">
            <v>N23</v>
          </cell>
        </row>
        <row r="270">
          <cell r="A270" t="str">
            <v>0013-1003-0035</v>
          </cell>
          <cell r="B270" t="str">
            <v>N32</v>
          </cell>
        </row>
        <row r="271">
          <cell r="A271" t="str">
            <v>0013-1013-0063</v>
          </cell>
          <cell r="B271" t="str">
            <v>N34</v>
          </cell>
        </row>
        <row r="272">
          <cell r="A272" t="str">
            <v>0013-1005-0035</v>
          </cell>
          <cell r="B272" t="str">
            <v>N41</v>
          </cell>
        </row>
        <row r="273">
          <cell r="A273" t="str">
            <v>0013-1005-0040</v>
          </cell>
          <cell r="B273" t="str">
            <v>N42</v>
          </cell>
        </row>
        <row r="274">
          <cell r="A274" t="str">
            <v>0013-1013-0035</v>
          </cell>
          <cell r="B274" t="str">
            <v>N44</v>
          </cell>
        </row>
        <row r="275">
          <cell r="A275" t="str">
            <v>0025-1003-0058</v>
          </cell>
          <cell r="B275" t="str">
            <v>N45</v>
          </cell>
        </row>
        <row r="276">
          <cell r="A276" t="str">
            <v>0026-1003-0058</v>
          </cell>
          <cell r="B276" t="str">
            <v>N45</v>
          </cell>
        </row>
        <row r="277">
          <cell r="A277" t="str">
            <v>0025-1005-0058</v>
          </cell>
          <cell r="B277" t="str">
            <v>N46</v>
          </cell>
        </row>
        <row r="278">
          <cell r="A278" t="str">
            <v>0026-1005-0058</v>
          </cell>
          <cell r="B278" t="str">
            <v>N46</v>
          </cell>
        </row>
        <row r="279">
          <cell r="A279" t="str">
            <v>0003-1005-0012</v>
          </cell>
          <cell r="B279" t="str">
            <v>N51</v>
          </cell>
        </row>
        <row r="280">
          <cell r="A280" t="str">
            <v>0010-1005-0053</v>
          </cell>
          <cell r="B280" t="str">
            <v>N52</v>
          </cell>
        </row>
        <row r="281">
          <cell r="A281" t="str">
            <v>0010-1005-0053</v>
          </cell>
          <cell r="B281" t="str">
            <v>N54</v>
          </cell>
        </row>
        <row r="282">
          <cell r="A282" t="str">
            <v>0003-1013-0012</v>
          </cell>
          <cell r="B282" t="str">
            <v>N55</v>
          </cell>
        </row>
        <row r="283">
          <cell r="A283" t="str">
            <v>0003-1013-0057</v>
          </cell>
          <cell r="B283" t="str">
            <v>N55</v>
          </cell>
        </row>
        <row r="284">
          <cell r="A284" t="str">
            <v>0003-1013-0048</v>
          </cell>
          <cell r="B284" t="str">
            <v>N56</v>
          </cell>
        </row>
        <row r="285">
          <cell r="A285" t="str">
            <v>0003-1013-0047</v>
          </cell>
          <cell r="B285" t="str">
            <v>N57</v>
          </cell>
        </row>
        <row r="286">
          <cell r="A286" t="str">
            <v>0003-1005-0047</v>
          </cell>
          <cell r="B286" t="str">
            <v>N59</v>
          </cell>
        </row>
        <row r="287">
          <cell r="A287" t="str">
            <v>0003-1003-0012</v>
          </cell>
          <cell r="B287" t="str">
            <v>N61</v>
          </cell>
        </row>
        <row r="288">
          <cell r="A288" t="str">
            <v>0003-1003-0057</v>
          </cell>
          <cell r="B288" t="str">
            <v>N61</v>
          </cell>
        </row>
        <row r="289">
          <cell r="A289" t="str">
            <v>0010-1005-0016</v>
          </cell>
          <cell r="B289" t="str">
            <v>N91</v>
          </cell>
        </row>
        <row r="290">
          <cell r="A290" t="str">
            <v>0011-1008-0037</v>
          </cell>
          <cell r="B290" t="str">
            <v>P12</v>
          </cell>
        </row>
        <row r="291">
          <cell r="A291" t="str">
            <v>0011-1008-0033</v>
          </cell>
          <cell r="B291" t="str">
            <v>P13</v>
          </cell>
        </row>
        <row r="292">
          <cell r="A292" t="str">
            <v>0011-1008-0054</v>
          </cell>
          <cell r="B292" t="str">
            <v>P23</v>
          </cell>
        </row>
        <row r="293">
          <cell r="A293" t="str">
            <v>0011-1008-0055</v>
          </cell>
          <cell r="B293" t="str">
            <v>P28</v>
          </cell>
        </row>
        <row r="294">
          <cell r="A294" t="str">
            <v>0019-1008-0031</v>
          </cell>
          <cell r="B294" t="str">
            <v>P53</v>
          </cell>
        </row>
        <row r="295">
          <cell r="A295" t="str">
            <v>0019-1008-0032</v>
          </cell>
          <cell r="B295" t="str">
            <v>P58</v>
          </cell>
        </row>
        <row r="296">
          <cell r="A296" t="str">
            <v>0017-1009-0012</v>
          </cell>
          <cell r="B296" t="str">
            <v>R12</v>
          </cell>
        </row>
        <row r="297">
          <cell r="A297" t="str">
            <v>0017-1009-0064</v>
          </cell>
          <cell r="B297" t="str">
            <v>R15</v>
          </cell>
        </row>
        <row r="298">
          <cell r="A298" t="str">
            <v>0016-1008-0012</v>
          </cell>
          <cell r="B298" t="str">
            <v>R17</v>
          </cell>
        </row>
        <row r="299">
          <cell r="A299" t="str">
            <v>0016-1002-0012</v>
          </cell>
          <cell r="B299" t="str">
            <v>R18</v>
          </cell>
        </row>
        <row r="300">
          <cell r="A300" t="str">
            <v>0016-1003-0012</v>
          </cell>
          <cell r="B300" t="str">
            <v>R18</v>
          </cell>
        </row>
        <row r="301">
          <cell r="A301" t="str">
            <v>0016-1012-0012</v>
          </cell>
          <cell r="B301" t="str">
            <v>R19</v>
          </cell>
        </row>
        <row r="302">
          <cell r="A302" t="str">
            <v>0016-1013-0012</v>
          </cell>
          <cell r="B302" t="str">
            <v>R19</v>
          </cell>
        </row>
        <row r="303">
          <cell r="A303" t="str">
            <v>0016-1004-0012</v>
          </cell>
          <cell r="B303" t="str">
            <v>R20</v>
          </cell>
        </row>
        <row r="304">
          <cell r="A304" t="str">
            <v>0016-1005-0012</v>
          </cell>
          <cell r="B304" t="str">
            <v>R20</v>
          </cell>
        </row>
        <row r="305">
          <cell r="A305" t="str">
            <v>0016-1006-0012</v>
          </cell>
          <cell r="B305" t="str">
            <v>R21</v>
          </cell>
        </row>
        <row r="306">
          <cell r="A306" t="str">
            <v>0016-1007-0012</v>
          </cell>
          <cell r="B306" t="str">
            <v>R21</v>
          </cell>
        </row>
        <row r="307">
          <cell r="A307" t="str">
            <v>0016-1008-0037</v>
          </cell>
          <cell r="B307" t="str">
            <v>R24</v>
          </cell>
        </row>
        <row r="308">
          <cell r="A308" t="str">
            <v>0016-1002-0064</v>
          </cell>
          <cell r="B308" t="str">
            <v>R25</v>
          </cell>
        </row>
        <row r="309">
          <cell r="A309" t="str">
            <v>0016-1012-0064</v>
          </cell>
          <cell r="B309" t="str">
            <v>R25</v>
          </cell>
        </row>
        <row r="310">
          <cell r="A310" t="str">
            <v>0011-1010-0017</v>
          </cell>
          <cell r="B310" t="str">
            <v>S11</v>
          </cell>
        </row>
        <row r="311">
          <cell r="A311" t="str">
            <v>0012-1010-0017</v>
          </cell>
          <cell r="B311" t="str">
            <v>S12</v>
          </cell>
        </row>
        <row r="312">
          <cell r="A312" t="str">
            <v>0011-1010-0023</v>
          </cell>
          <cell r="B312" t="str">
            <v>S13</v>
          </cell>
        </row>
        <row r="313">
          <cell r="A313" t="str">
            <v>0011-1010-0024</v>
          </cell>
          <cell r="B313" t="str">
            <v>S14</v>
          </cell>
        </row>
        <row r="314">
          <cell r="A314" t="str">
            <v>0003-1010-0017</v>
          </cell>
          <cell r="B314" t="str">
            <v>S51</v>
          </cell>
        </row>
        <row r="315">
          <cell r="A315" t="str">
            <v>0003-1010-0023</v>
          </cell>
          <cell r="B315" t="str">
            <v>S54</v>
          </cell>
        </row>
        <row r="316">
          <cell r="A316" t="str">
            <v>0003-1010-0024</v>
          </cell>
          <cell r="B316" t="str">
            <v>S56</v>
          </cell>
        </row>
        <row r="317">
          <cell r="A317" t="str">
            <v>0100-9000-0062</v>
          </cell>
          <cell r="B317" t="str">
            <v>U96</v>
          </cell>
        </row>
        <row r="318">
          <cell r="A318" t="str">
            <v>0011-1001-0012</v>
          </cell>
          <cell r="B318" t="str">
            <v>V11</v>
          </cell>
        </row>
        <row r="319">
          <cell r="A319" t="str">
            <v>0011-1001-0007</v>
          </cell>
          <cell r="B319" t="str">
            <v>V12</v>
          </cell>
        </row>
        <row r="320">
          <cell r="A320" t="str">
            <v>0011-1001-0021</v>
          </cell>
          <cell r="B320" t="str">
            <v>V13</v>
          </cell>
        </row>
        <row r="321">
          <cell r="A321" t="str">
            <v>0011-1001-0022</v>
          </cell>
          <cell r="B321" t="str">
            <v>V14</v>
          </cell>
        </row>
        <row r="322">
          <cell r="A322" t="str">
            <v>0003-1001-0012</v>
          </cell>
          <cell r="B322" t="str">
            <v>V51</v>
          </cell>
        </row>
        <row r="323">
          <cell r="A323" t="str">
            <v>0003-1001-0007</v>
          </cell>
          <cell r="B323" t="str">
            <v>V52</v>
          </cell>
        </row>
        <row r="324">
          <cell r="A324" t="str">
            <v>0003-1001-0021</v>
          </cell>
          <cell r="B324" t="str">
            <v>V53</v>
          </cell>
        </row>
        <row r="325">
          <cell r="A325" t="str">
            <v>0003-1001-0022</v>
          </cell>
          <cell r="B325" t="str">
            <v>V54</v>
          </cell>
        </row>
        <row r="326">
          <cell r="A326" t="str">
            <v>0003-1001-0065</v>
          </cell>
          <cell r="B326" t="str">
            <v>V55</v>
          </cell>
        </row>
        <row r="327">
          <cell r="A327" t="str">
            <v>0003-1009-0010</v>
          </cell>
          <cell r="B327" t="str">
            <v>V91</v>
          </cell>
        </row>
        <row r="328">
          <cell r="A328" t="str">
            <v>0003-1009-0011</v>
          </cell>
          <cell r="B328" t="str">
            <v>V91</v>
          </cell>
        </row>
        <row r="329">
          <cell r="A329" t="str">
            <v>0400-1020-0110</v>
          </cell>
          <cell r="B329" t="str">
            <v>H11</v>
          </cell>
        </row>
        <row r="330">
          <cell r="A330" t="str">
            <v>0400-1020-0140</v>
          </cell>
          <cell r="B330" t="str">
            <v>H12</v>
          </cell>
        </row>
        <row r="331">
          <cell r="A331" t="str">
            <v>0017-1009-0170</v>
          </cell>
          <cell r="B331" t="str">
            <v>H13</v>
          </cell>
        </row>
        <row r="332">
          <cell r="A332" t="str">
            <v>0450-9003-0180</v>
          </cell>
          <cell r="B332" t="str">
            <v>H14</v>
          </cell>
        </row>
        <row r="333">
          <cell r="A333" t="str">
            <v>0470-1022-0190</v>
          </cell>
          <cell r="B333" t="str">
            <v>H15</v>
          </cell>
        </row>
        <row r="334">
          <cell r="A334" t="str">
            <v>0470-1022-0230</v>
          </cell>
          <cell r="B334" t="str">
            <v>H16</v>
          </cell>
        </row>
        <row r="335">
          <cell r="A335" t="str">
            <v>0401-1021-0240</v>
          </cell>
          <cell r="B335" t="str">
            <v>H18</v>
          </cell>
        </row>
        <row r="336">
          <cell r="A336" t="str">
            <v>0017-1009-0260</v>
          </cell>
          <cell r="B336" t="str">
            <v>H19</v>
          </cell>
        </row>
        <row r="337">
          <cell r="A337" t="str">
            <v>0460-9002-0270</v>
          </cell>
          <cell r="B337" t="str">
            <v>H20</v>
          </cell>
        </row>
      </sheetData>
      <sheetData sheetId="8" refreshError="1">
        <row r="2">
          <cell r="A2" t="str">
            <v>D71</v>
          </cell>
          <cell r="B2" t="str">
            <v>AGDMHC</v>
          </cell>
        </row>
        <row r="3">
          <cell r="A3" t="str">
            <v>D72</v>
          </cell>
          <cell r="B3" t="str">
            <v>AGDMHC</v>
          </cell>
        </row>
        <row r="4">
          <cell r="A4" t="str">
            <v>D76</v>
          </cell>
          <cell r="B4" t="str">
            <v>AGDMHC</v>
          </cell>
        </row>
        <row r="5">
          <cell r="A5" t="str">
            <v>D81</v>
          </cell>
          <cell r="B5" t="str">
            <v>AGDMHC</v>
          </cell>
        </row>
        <row r="6">
          <cell r="A6" t="str">
            <v>D82</v>
          </cell>
          <cell r="B6" t="str">
            <v>AGDMHC</v>
          </cell>
        </row>
        <row r="7">
          <cell r="A7" t="str">
            <v>D91</v>
          </cell>
          <cell r="B7" t="str">
            <v>AGDMHC</v>
          </cell>
        </row>
        <row r="8">
          <cell r="A8" t="str">
            <v>D92</v>
          </cell>
          <cell r="B8" t="str">
            <v>AGDMHC</v>
          </cell>
        </row>
        <row r="9">
          <cell r="A9" t="str">
            <v>D93</v>
          </cell>
          <cell r="B9" t="str">
            <v>AGDMHC</v>
          </cell>
        </row>
        <row r="10">
          <cell r="A10" t="str">
            <v>D94</v>
          </cell>
          <cell r="B10" t="str">
            <v>AGDMHC</v>
          </cell>
        </row>
        <row r="11">
          <cell r="A11" t="str">
            <v>D96</v>
          </cell>
          <cell r="B11" t="str">
            <v>AGDMHC</v>
          </cell>
        </row>
        <row r="12">
          <cell r="A12" t="str">
            <v>D97</v>
          </cell>
          <cell r="B12" t="str">
            <v>AGDMHC</v>
          </cell>
        </row>
        <row r="13">
          <cell r="A13" t="str">
            <v>D98</v>
          </cell>
          <cell r="B13" t="str">
            <v>AGDMHC</v>
          </cell>
        </row>
        <row r="14">
          <cell r="A14" t="str">
            <v>D99</v>
          </cell>
          <cell r="B14" t="str">
            <v>AGDMHC</v>
          </cell>
        </row>
        <row r="15">
          <cell r="A15" t="str">
            <v>E72</v>
          </cell>
          <cell r="B15" t="str">
            <v>AGDMHC</v>
          </cell>
        </row>
        <row r="16">
          <cell r="A16" t="str">
            <v>E82</v>
          </cell>
          <cell r="B16" t="str">
            <v>AGDMHC</v>
          </cell>
        </row>
        <row r="17">
          <cell r="A17" t="str">
            <v>E92</v>
          </cell>
          <cell r="B17" t="str">
            <v>AGDMHC</v>
          </cell>
        </row>
        <row r="18">
          <cell r="A18" t="str">
            <v>E61</v>
          </cell>
          <cell r="B18" t="str">
            <v>AGDMHC</v>
          </cell>
        </row>
        <row r="19">
          <cell r="A19" t="str">
            <v>E75</v>
          </cell>
          <cell r="B19" t="str">
            <v>AGDMHC</v>
          </cell>
        </row>
        <row r="20">
          <cell r="A20" t="str">
            <v>D11</v>
          </cell>
          <cell r="B20" t="str">
            <v>AGDMHC</v>
          </cell>
        </row>
        <row r="21">
          <cell r="A21" t="str">
            <v>D21</v>
          </cell>
          <cell r="B21" t="str">
            <v>AGDMHC</v>
          </cell>
        </row>
        <row r="22">
          <cell r="A22" t="str">
            <v>D51</v>
          </cell>
          <cell r="B22" t="str">
            <v>AGDMHC</v>
          </cell>
        </row>
        <row r="23">
          <cell r="A23" t="str">
            <v>D52</v>
          </cell>
          <cell r="B23" t="str">
            <v>AGDMHC</v>
          </cell>
        </row>
        <row r="24">
          <cell r="A24" t="str">
            <v>D55</v>
          </cell>
          <cell r="B24" t="str">
            <v>AGDMHC</v>
          </cell>
        </row>
        <row r="25">
          <cell r="A25" t="str">
            <v>D85</v>
          </cell>
          <cell r="B25" t="str">
            <v>AGDMHC</v>
          </cell>
        </row>
        <row r="26">
          <cell r="A26" t="str">
            <v>D00</v>
          </cell>
          <cell r="B26" t="str">
            <v>AGDMHC</v>
          </cell>
        </row>
        <row r="27">
          <cell r="A27" t="str">
            <v>C95</v>
          </cell>
          <cell r="B27" t="str">
            <v>DOIIFP</v>
          </cell>
        </row>
        <row r="28">
          <cell r="A28" t="str">
            <v>C85</v>
          </cell>
          <cell r="B28" t="str">
            <v>DOIIFP</v>
          </cell>
        </row>
        <row r="29">
          <cell r="A29" t="str">
            <v>C99</v>
          </cell>
          <cell r="B29" t="str">
            <v>DOIIFP</v>
          </cell>
        </row>
        <row r="30">
          <cell r="A30" t="str">
            <v>C84</v>
          </cell>
          <cell r="B30" t="str">
            <v>DOIIFP</v>
          </cell>
        </row>
        <row r="31">
          <cell r="A31" t="str">
            <v>C86</v>
          </cell>
          <cell r="B31" t="str">
            <v>DOIIFP</v>
          </cell>
        </row>
        <row r="32">
          <cell r="A32" t="str">
            <v>C73</v>
          </cell>
          <cell r="B32" t="str">
            <v>DOILG</v>
          </cell>
        </row>
        <row r="33">
          <cell r="A33" t="str">
            <v>C74</v>
          </cell>
          <cell r="B33" t="str">
            <v>DOILG</v>
          </cell>
        </row>
        <row r="34">
          <cell r="A34" t="str">
            <v>C75</v>
          </cell>
          <cell r="B34" t="str">
            <v>DOILG</v>
          </cell>
        </row>
        <row r="35">
          <cell r="A35" t="str">
            <v>C76</v>
          </cell>
          <cell r="B35" t="str">
            <v>DOILG</v>
          </cell>
        </row>
        <row r="36">
          <cell r="A36" t="str">
            <v>C77</v>
          </cell>
          <cell r="B36" t="str">
            <v>DOILG</v>
          </cell>
        </row>
        <row r="37">
          <cell r="A37" t="str">
            <v>C93</v>
          </cell>
          <cell r="B37" t="str">
            <v>DOILG</v>
          </cell>
        </row>
        <row r="38">
          <cell r="A38" t="str">
            <v>C96</v>
          </cell>
          <cell r="B38" t="str">
            <v>DOILG</v>
          </cell>
        </row>
        <row r="39">
          <cell r="A39" t="str">
            <v>C94</v>
          </cell>
          <cell r="B39" t="str">
            <v>DOISG</v>
          </cell>
        </row>
        <row r="40">
          <cell r="A40" t="str">
            <v>F14</v>
          </cell>
          <cell r="B40" t="str">
            <v>GOVTALL</v>
          </cell>
        </row>
        <row r="41">
          <cell r="A41" t="str">
            <v>F17</v>
          </cell>
          <cell r="B41" t="str">
            <v>GOVTALL</v>
          </cell>
        </row>
        <row r="42">
          <cell r="A42" t="str">
            <v>F54</v>
          </cell>
          <cell r="B42" t="str">
            <v>GOVTALL</v>
          </cell>
        </row>
        <row r="43">
          <cell r="A43" t="str">
            <v>F92</v>
          </cell>
          <cell r="B43" t="str">
            <v>GOVTALL</v>
          </cell>
        </row>
        <row r="44">
          <cell r="A44" t="str">
            <v>K21</v>
          </cell>
          <cell r="B44" t="str">
            <v>HMFLEX</v>
          </cell>
        </row>
        <row r="45">
          <cell r="A45" t="str">
            <v>K22</v>
          </cell>
          <cell r="B45" t="str">
            <v>HMFLEX</v>
          </cell>
        </row>
        <row r="46">
          <cell r="A46" t="str">
            <v>K23</v>
          </cell>
          <cell r="B46" t="str">
            <v>HMFLEX</v>
          </cell>
        </row>
        <row r="47">
          <cell r="A47" t="str">
            <v>K24</v>
          </cell>
          <cell r="B47" t="str">
            <v>HMFLEX</v>
          </cell>
        </row>
        <row r="48">
          <cell r="A48" t="str">
            <v>K25</v>
          </cell>
          <cell r="B48" t="str">
            <v>HMFLEX</v>
          </cell>
        </row>
        <row r="49">
          <cell r="A49" t="str">
            <v>K42</v>
          </cell>
          <cell r="B49" t="str">
            <v>HMFLEX</v>
          </cell>
        </row>
        <row r="50">
          <cell r="A50" t="str">
            <v>K53</v>
          </cell>
          <cell r="B50" t="str">
            <v>HMFLEX</v>
          </cell>
        </row>
        <row r="51">
          <cell r="A51" t="str">
            <v>K54</v>
          </cell>
          <cell r="B51" t="str">
            <v>HMFLEX</v>
          </cell>
        </row>
        <row r="52">
          <cell r="A52" t="str">
            <v>K56</v>
          </cell>
          <cell r="B52" t="str">
            <v>HMFLEX</v>
          </cell>
        </row>
        <row r="53">
          <cell r="A53" t="str">
            <v>L21</v>
          </cell>
          <cell r="B53" t="str">
            <v>HMFLEX</v>
          </cell>
        </row>
        <row r="54">
          <cell r="A54" t="str">
            <v>L22</v>
          </cell>
          <cell r="B54" t="str">
            <v>HMFLEX</v>
          </cell>
        </row>
        <row r="55">
          <cell r="A55" t="str">
            <v>L91</v>
          </cell>
          <cell r="B55" t="str">
            <v>HMFLEX</v>
          </cell>
        </row>
        <row r="56">
          <cell r="A56" t="str">
            <v>N21</v>
          </cell>
          <cell r="B56" t="str">
            <v>HMFLEX</v>
          </cell>
        </row>
        <row r="57">
          <cell r="A57" t="str">
            <v>N22</v>
          </cell>
          <cell r="B57" t="str">
            <v>HMFLEX</v>
          </cell>
        </row>
        <row r="58">
          <cell r="A58" t="str">
            <v>N23</v>
          </cell>
          <cell r="B58" t="str">
            <v>HMFLEX</v>
          </cell>
        </row>
        <row r="59">
          <cell r="A59" t="str">
            <v>N24</v>
          </cell>
          <cell r="B59" t="str">
            <v>HMFLEX</v>
          </cell>
        </row>
        <row r="60">
          <cell r="A60" t="str">
            <v>N56</v>
          </cell>
          <cell r="B60" t="str">
            <v>HMFLEX</v>
          </cell>
        </row>
        <row r="61">
          <cell r="A61" t="str">
            <v>C83</v>
          </cell>
          <cell r="B61" t="str">
            <v>HMFLEX</v>
          </cell>
        </row>
        <row r="62">
          <cell r="A62" t="str">
            <v>F11</v>
          </cell>
          <cell r="B62" t="str">
            <v>HMOFEP</v>
          </cell>
        </row>
        <row r="63">
          <cell r="A63" t="str">
            <v>F26</v>
          </cell>
          <cell r="B63" t="str">
            <v>HMOFEP</v>
          </cell>
        </row>
        <row r="64">
          <cell r="A64" t="str">
            <v>F27</v>
          </cell>
          <cell r="B64" t="str">
            <v>HMOFEP</v>
          </cell>
        </row>
        <row r="65">
          <cell r="A65" t="str">
            <v>V11</v>
          </cell>
          <cell r="B65" t="str">
            <v>HMOIFP</v>
          </cell>
        </row>
        <row r="66">
          <cell r="A66" t="str">
            <v>V12</v>
          </cell>
          <cell r="B66" t="str">
            <v>HMOIFP</v>
          </cell>
        </row>
        <row r="67">
          <cell r="A67" t="str">
            <v>V13</v>
          </cell>
          <cell r="B67" t="str">
            <v>HMOIFP</v>
          </cell>
        </row>
        <row r="68">
          <cell r="A68" t="str">
            <v>V14</v>
          </cell>
          <cell r="B68" t="str">
            <v>HMOIFP</v>
          </cell>
        </row>
        <row r="69">
          <cell r="A69" t="str">
            <v>A15</v>
          </cell>
          <cell r="B69" t="str">
            <v>HMOLG</v>
          </cell>
        </row>
        <row r="70">
          <cell r="A70" t="str">
            <v>B12</v>
          </cell>
          <cell r="B70" t="str">
            <v>HMOLG</v>
          </cell>
        </row>
        <row r="71">
          <cell r="A71" t="str">
            <v>L11</v>
          </cell>
          <cell r="B71" t="str">
            <v>HMOLG</v>
          </cell>
        </row>
        <row r="72">
          <cell r="A72" t="str">
            <v>L12</v>
          </cell>
          <cell r="B72" t="str">
            <v>HMOLG</v>
          </cell>
        </row>
        <row r="73">
          <cell r="A73" t="str">
            <v>L13</v>
          </cell>
          <cell r="B73" t="str">
            <v>HMOLG</v>
          </cell>
        </row>
        <row r="74">
          <cell r="A74" t="str">
            <v>L14</v>
          </cell>
          <cell r="B74" t="str">
            <v>HMOLG</v>
          </cell>
        </row>
        <row r="75">
          <cell r="A75" t="str">
            <v>L15</v>
          </cell>
          <cell r="B75" t="str">
            <v>HMOLG</v>
          </cell>
        </row>
        <row r="76">
          <cell r="A76" t="str">
            <v>L16</v>
          </cell>
          <cell r="B76" t="str">
            <v>HMOLG</v>
          </cell>
        </row>
        <row r="77">
          <cell r="A77" t="str">
            <v>L17</v>
          </cell>
          <cell r="B77" t="str">
            <v>HMOLG</v>
          </cell>
        </row>
        <row r="78">
          <cell r="A78" t="str">
            <v>L19</v>
          </cell>
          <cell r="B78" t="str">
            <v>HMOLG</v>
          </cell>
        </row>
        <row r="79">
          <cell r="A79" t="str">
            <v>N11</v>
          </cell>
          <cell r="B79" t="str">
            <v>HMOLG</v>
          </cell>
        </row>
        <row r="80">
          <cell r="A80" t="str">
            <v>N13</v>
          </cell>
          <cell r="B80" t="str">
            <v>HMOLG</v>
          </cell>
        </row>
        <row r="81">
          <cell r="A81" t="str">
            <v>N17</v>
          </cell>
          <cell r="B81" t="str">
            <v>HMOLG</v>
          </cell>
        </row>
        <row r="82">
          <cell r="A82" t="str">
            <v>N18</v>
          </cell>
          <cell r="B82" t="str">
            <v>HMOLG</v>
          </cell>
        </row>
        <row r="83">
          <cell r="A83" t="str">
            <v>N19</v>
          </cell>
          <cell r="B83" t="str">
            <v>HMOLG</v>
          </cell>
        </row>
        <row r="84">
          <cell r="A84" t="str">
            <v>R18</v>
          </cell>
          <cell r="B84" t="str">
            <v>HMOMG</v>
          </cell>
        </row>
        <row r="85">
          <cell r="A85" t="str">
            <v>R19</v>
          </cell>
          <cell r="B85" t="str">
            <v>HMOMG</v>
          </cell>
        </row>
        <row r="86">
          <cell r="A86" t="str">
            <v>R20</v>
          </cell>
          <cell r="B86" t="str">
            <v>HMOMG</v>
          </cell>
        </row>
        <row r="87">
          <cell r="A87" t="str">
            <v>R21</v>
          </cell>
          <cell r="B87" t="str">
            <v>HMOMG</v>
          </cell>
        </row>
        <row r="88">
          <cell r="A88" t="str">
            <v>R22</v>
          </cell>
          <cell r="B88" t="str">
            <v>HMOMG</v>
          </cell>
        </row>
        <row r="89">
          <cell r="A89" t="str">
            <v>R25</v>
          </cell>
          <cell r="B89" t="str">
            <v>HMOMG</v>
          </cell>
        </row>
        <row r="90">
          <cell r="A90" t="str">
            <v>R11</v>
          </cell>
          <cell r="B90" t="str">
            <v>HMOMM</v>
          </cell>
        </row>
        <row r="91">
          <cell r="A91" t="str">
            <v>R12</v>
          </cell>
          <cell r="B91" t="str">
            <v>HMOMM</v>
          </cell>
        </row>
        <row r="92">
          <cell r="A92" t="str">
            <v>R13</v>
          </cell>
          <cell r="B92" t="str">
            <v>HMOMM</v>
          </cell>
        </row>
        <row r="93">
          <cell r="A93" t="str">
            <v>R14</v>
          </cell>
          <cell r="B93" t="str">
            <v>HMOMM</v>
          </cell>
        </row>
        <row r="94">
          <cell r="A94" t="str">
            <v>R15</v>
          </cell>
          <cell r="B94" t="str">
            <v>HMOMM</v>
          </cell>
        </row>
        <row r="95">
          <cell r="A95" t="str">
            <v>R16</v>
          </cell>
          <cell r="B95" t="str">
            <v>HMOMM</v>
          </cell>
        </row>
        <row r="96">
          <cell r="A96" t="str">
            <v>F12</v>
          </cell>
          <cell r="B96" t="str">
            <v>HMOPERA</v>
          </cell>
        </row>
        <row r="97">
          <cell r="A97" t="str">
            <v>F53</v>
          </cell>
          <cell r="B97" t="str">
            <v>HMOPERA</v>
          </cell>
        </row>
        <row r="98">
          <cell r="A98" t="str">
            <v>P12</v>
          </cell>
          <cell r="B98" t="str">
            <v>HMOPERA</v>
          </cell>
        </row>
        <row r="99">
          <cell r="A99" t="str">
            <v>P53</v>
          </cell>
          <cell r="B99" t="str">
            <v>HMOPERA</v>
          </cell>
        </row>
        <row r="100">
          <cell r="A100" t="str">
            <v>F23</v>
          </cell>
          <cell r="B100" t="str">
            <v>HMOPERN</v>
          </cell>
        </row>
        <row r="101">
          <cell r="A101" t="str">
            <v>P23</v>
          </cell>
          <cell r="B101" t="str">
            <v>HMOPERN</v>
          </cell>
        </row>
        <row r="102">
          <cell r="A102" t="str">
            <v>F20</v>
          </cell>
          <cell r="B102" t="str">
            <v>HMOPMR</v>
          </cell>
        </row>
        <row r="103">
          <cell r="A103" t="str">
            <v>F22</v>
          </cell>
          <cell r="B103" t="str">
            <v>HMOPMR</v>
          </cell>
        </row>
        <row r="104">
          <cell r="A104" t="str">
            <v>N15</v>
          </cell>
          <cell r="B104" t="str">
            <v>HMOPMR</v>
          </cell>
        </row>
        <row r="105">
          <cell r="A105" t="str">
            <v>N16</v>
          </cell>
          <cell r="B105" t="str">
            <v>HMOPMR</v>
          </cell>
        </row>
        <row r="106">
          <cell r="A106" t="str">
            <v>K11</v>
          </cell>
          <cell r="B106" t="str">
            <v>HMOPMR</v>
          </cell>
        </row>
        <row r="107">
          <cell r="A107" t="str">
            <v>K12</v>
          </cell>
          <cell r="B107" t="str">
            <v>HMOPMR</v>
          </cell>
        </row>
        <row r="108">
          <cell r="A108" t="str">
            <v>K14</v>
          </cell>
          <cell r="B108" t="str">
            <v>HMOPMR</v>
          </cell>
        </row>
        <row r="109">
          <cell r="A109" t="str">
            <v>K15</v>
          </cell>
          <cell r="B109" t="str">
            <v>HMOPMR</v>
          </cell>
        </row>
        <row r="110">
          <cell r="A110" t="str">
            <v>N14</v>
          </cell>
          <cell r="B110" t="str">
            <v>HMOPMR</v>
          </cell>
        </row>
        <row r="111">
          <cell r="A111" t="str">
            <v>N20</v>
          </cell>
          <cell r="B111" t="str">
            <v>HMOPMR</v>
          </cell>
        </row>
        <row r="112">
          <cell r="A112" t="str">
            <v>A13</v>
          </cell>
          <cell r="B112" t="str">
            <v>HMOSG</v>
          </cell>
        </row>
        <row r="113">
          <cell r="A113" t="str">
            <v>B11</v>
          </cell>
          <cell r="B113" t="str">
            <v>HMOSG</v>
          </cell>
        </row>
        <row r="114">
          <cell r="A114" t="str">
            <v>S11</v>
          </cell>
          <cell r="B114" t="str">
            <v>HMOSG</v>
          </cell>
        </row>
        <row r="115">
          <cell r="A115" t="str">
            <v>S12</v>
          </cell>
          <cell r="B115" t="str">
            <v>HMOSG</v>
          </cell>
        </row>
        <row r="116">
          <cell r="A116" t="str">
            <v>S13</v>
          </cell>
          <cell r="B116" t="str">
            <v>HMOSG</v>
          </cell>
        </row>
        <row r="117">
          <cell r="A117" t="str">
            <v>S14</v>
          </cell>
          <cell r="B117" t="str">
            <v>HMOSG</v>
          </cell>
        </row>
        <row r="118">
          <cell r="A118" t="str">
            <v>N12</v>
          </cell>
          <cell r="B118" t="str">
            <v>NATPAR</v>
          </cell>
        </row>
        <row r="119">
          <cell r="A119" t="str">
            <v>N52</v>
          </cell>
          <cell r="B119" t="str">
            <v>NATPAR</v>
          </cell>
        </row>
        <row r="120">
          <cell r="A120" t="str">
            <v>N54</v>
          </cell>
          <cell r="B120" t="str">
            <v>NATPAR</v>
          </cell>
        </row>
        <row r="121">
          <cell r="A121" t="str">
            <v>R17</v>
          </cell>
          <cell r="B121" t="str">
            <v>PERMAPD</v>
          </cell>
        </row>
        <row r="122">
          <cell r="A122" t="str">
            <v>R24</v>
          </cell>
          <cell r="B122" t="str">
            <v>PERMAPD</v>
          </cell>
        </row>
        <row r="123">
          <cell r="A123" t="str">
            <v>F13</v>
          </cell>
          <cell r="B123" t="str">
            <v>PERMEDA</v>
          </cell>
        </row>
        <row r="124">
          <cell r="A124" t="str">
            <v>F58</v>
          </cell>
          <cell r="B124" t="str">
            <v>PERMEDA</v>
          </cell>
        </row>
        <row r="125">
          <cell r="A125" t="str">
            <v>P13</v>
          </cell>
          <cell r="B125" t="str">
            <v>PERMEDA</v>
          </cell>
        </row>
        <row r="126">
          <cell r="A126" t="str">
            <v>P58</v>
          </cell>
          <cell r="B126" t="str">
            <v>PERMEDA</v>
          </cell>
        </row>
        <row r="127">
          <cell r="A127" t="str">
            <v>F28</v>
          </cell>
          <cell r="B127" t="str">
            <v>PERMEDN</v>
          </cell>
        </row>
        <row r="128">
          <cell r="A128" t="str">
            <v>P28</v>
          </cell>
          <cell r="B128" t="str">
            <v>PERMEDN</v>
          </cell>
        </row>
        <row r="129">
          <cell r="A129" t="str">
            <v>F30</v>
          </cell>
          <cell r="B129" t="str">
            <v>PPOFEP</v>
          </cell>
        </row>
        <row r="130">
          <cell r="A130" t="str">
            <v>F31</v>
          </cell>
          <cell r="B130" t="str">
            <v>PPOFEP</v>
          </cell>
        </row>
        <row r="131">
          <cell r="A131" t="str">
            <v>F51</v>
          </cell>
          <cell r="B131" t="str">
            <v>PPOFEP</v>
          </cell>
        </row>
        <row r="132">
          <cell r="A132" t="str">
            <v>F91</v>
          </cell>
          <cell r="B132" t="str">
            <v>PPOFEP</v>
          </cell>
        </row>
        <row r="133">
          <cell r="A133" t="str">
            <v>M51</v>
          </cell>
          <cell r="B133" t="str">
            <v>PPOIFP</v>
          </cell>
        </row>
        <row r="134">
          <cell r="A134" t="str">
            <v>M52</v>
          </cell>
          <cell r="B134" t="str">
            <v>PPOIFP</v>
          </cell>
        </row>
        <row r="135">
          <cell r="A135" t="str">
            <v>V31</v>
          </cell>
          <cell r="B135" t="str">
            <v>PPOIFP</v>
          </cell>
        </row>
        <row r="136">
          <cell r="A136" t="str">
            <v>V51</v>
          </cell>
          <cell r="B136" t="str">
            <v>PPOIFP</v>
          </cell>
        </row>
        <row r="137">
          <cell r="A137" t="str">
            <v>V52</v>
          </cell>
          <cell r="B137" t="str">
            <v>PPOIFP</v>
          </cell>
        </row>
        <row r="138">
          <cell r="A138" t="str">
            <v>V53</v>
          </cell>
          <cell r="B138" t="str">
            <v>PPOIFP</v>
          </cell>
        </row>
        <row r="139">
          <cell r="A139" t="str">
            <v>V54</v>
          </cell>
          <cell r="B139" t="str">
            <v>PPOIFP</v>
          </cell>
        </row>
        <row r="140">
          <cell r="A140" t="str">
            <v>V55</v>
          </cell>
          <cell r="B140" t="str">
            <v>PPOIFP</v>
          </cell>
        </row>
        <row r="141">
          <cell r="A141" t="str">
            <v>L31</v>
          </cell>
          <cell r="B141" t="str">
            <v>PPOLG</v>
          </cell>
        </row>
        <row r="142">
          <cell r="A142" t="str">
            <v>L32</v>
          </cell>
          <cell r="B142" t="str">
            <v>PPOLG</v>
          </cell>
        </row>
        <row r="143">
          <cell r="A143" t="str">
            <v>L51</v>
          </cell>
          <cell r="B143" t="str">
            <v>PPOLG</v>
          </cell>
        </row>
        <row r="144">
          <cell r="A144" t="str">
            <v>L52</v>
          </cell>
          <cell r="B144" t="str">
            <v>PPOLG</v>
          </cell>
        </row>
        <row r="145">
          <cell r="A145" t="str">
            <v>L56</v>
          </cell>
          <cell r="B145" t="str">
            <v>PPOLG</v>
          </cell>
        </row>
        <row r="146">
          <cell r="A146" t="str">
            <v>L55</v>
          </cell>
          <cell r="B146" t="str">
            <v>PPOLG</v>
          </cell>
        </row>
        <row r="147">
          <cell r="A147" t="str">
            <v>L57</v>
          </cell>
          <cell r="B147" t="str">
            <v>PPOLG</v>
          </cell>
        </row>
        <row r="148">
          <cell r="A148" t="str">
            <v>L61</v>
          </cell>
          <cell r="B148" t="str">
            <v>PPOLG</v>
          </cell>
        </row>
        <row r="149">
          <cell r="A149" t="str">
            <v>L62</v>
          </cell>
          <cell r="B149" t="str">
            <v>PPOLG</v>
          </cell>
        </row>
        <row r="150">
          <cell r="A150" t="str">
            <v>L71</v>
          </cell>
          <cell r="B150" t="str">
            <v>PPOLG</v>
          </cell>
        </row>
        <row r="151">
          <cell r="A151" t="str">
            <v>N51</v>
          </cell>
          <cell r="B151" t="str">
            <v>PPOLG</v>
          </cell>
        </row>
        <row r="152">
          <cell r="A152" t="str">
            <v>N59</v>
          </cell>
          <cell r="B152" t="str">
            <v>PPOLG</v>
          </cell>
        </row>
        <row r="153">
          <cell r="A153" t="str">
            <v>N71</v>
          </cell>
          <cell r="B153" t="str">
            <v>PPOLG</v>
          </cell>
        </row>
        <row r="154">
          <cell r="A154" t="str">
            <v>C97</v>
          </cell>
          <cell r="B154" t="str">
            <v>PPOMM</v>
          </cell>
        </row>
        <row r="155">
          <cell r="A155" t="str">
            <v>M61</v>
          </cell>
          <cell r="B155" t="str">
            <v>PPOMM</v>
          </cell>
        </row>
        <row r="156">
          <cell r="A156" t="str">
            <v>M71</v>
          </cell>
          <cell r="B156" t="str">
            <v>PPOMM</v>
          </cell>
        </row>
        <row r="157">
          <cell r="A157" t="str">
            <v>M73</v>
          </cell>
          <cell r="B157" t="str">
            <v>PPOMM</v>
          </cell>
        </row>
        <row r="158">
          <cell r="A158" t="str">
            <v>M74</v>
          </cell>
          <cell r="B158" t="str">
            <v>PPOMM</v>
          </cell>
        </row>
        <row r="159">
          <cell r="A159" t="str">
            <v>M76</v>
          </cell>
          <cell r="B159" t="str">
            <v>PPOMM</v>
          </cell>
        </row>
        <row r="160">
          <cell r="A160" t="str">
            <v>M77</v>
          </cell>
          <cell r="B160" t="str">
            <v>PPOMM</v>
          </cell>
        </row>
        <row r="161">
          <cell r="A161" t="str">
            <v>M78</v>
          </cell>
          <cell r="B161" t="str">
            <v>PPOMM</v>
          </cell>
        </row>
        <row r="162">
          <cell r="A162" t="str">
            <v>M91</v>
          </cell>
          <cell r="B162" t="str">
            <v>PPOMM</v>
          </cell>
        </row>
        <row r="163">
          <cell r="A163" t="str">
            <v>M92</v>
          </cell>
          <cell r="B163" t="str">
            <v>PPOMM</v>
          </cell>
        </row>
        <row r="164">
          <cell r="A164" t="str">
            <v>V91</v>
          </cell>
          <cell r="B164" t="str">
            <v>PPOMM</v>
          </cell>
        </row>
        <row r="165">
          <cell r="A165" t="str">
            <v>F61</v>
          </cell>
          <cell r="B165" t="str">
            <v>PPOPMR</v>
          </cell>
        </row>
        <row r="166">
          <cell r="A166" t="str">
            <v>N61</v>
          </cell>
          <cell r="B166" t="str">
            <v>PPOPMR</v>
          </cell>
        </row>
        <row r="167">
          <cell r="A167" t="str">
            <v>K51</v>
          </cell>
          <cell r="B167" t="str">
            <v>PPOPMR</v>
          </cell>
        </row>
        <row r="168">
          <cell r="A168" t="str">
            <v>K55</v>
          </cell>
          <cell r="B168" t="str">
            <v>PPOPMR</v>
          </cell>
        </row>
        <row r="169">
          <cell r="A169" t="str">
            <v>K57</v>
          </cell>
          <cell r="B169" t="str">
            <v>PPOPMR</v>
          </cell>
        </row>
        <row r="170">
          <cell r="A170" t="str">
            <v>N55</v>
          </cell>
          <cell r="B170" t="str">
            <v>PPOPMR</v>
          </cell>
        </row>
        <row r="171">
          <cell r="A171" t="str">
            <v>N57</v>
          </cell>
          <cell r="B171" t="str">
            <v>PPOPMR</v>
          </cell>
        </row>
        <row r="172">
          <cell r="A172" t="str">
            <v>F56</v>
          </cell>
          <cell r="B172" t="str">
            <v>PPOSG</v>
          </cell>
        </row>
        <row r="173">
          <cell r="A173" t="str">
            <v>S31</v>
          </cell>
          <cell r="B173" t="str">
            <v>PPOSG</v>
          </cell>
        </row>
        <row r="174">
          <cell r="A174" t="str">
            <v>S51</v>
          </cell>
          <cell r="B174" t="str">
            <v>PPOSG</v>
          </cell>
        </row>
        <row r="175">
          <cell r="A175" t="str">
            <v>S71</v>
          </cell>
          <cell r="B175" t="str">
            <v>PPOSG</v>
          </cell>
        </row>
        <row r="176">
          <cell r="A176" t="str">
            <v>A33</v>
          </cell>
          <cell r="B176" t="str">
            <v>PPOSG</v>
          </cell>
        </row>
        <row r="177">
          <cell r="A177" t="str">
            <v>S54</v>
          </cell>
          <cell r="B177" t="str">
            <v>PPOSG</v>
          </cell>
        </row>
        <row r="178">
          <cell r="A178" t="str">
            <v>S56</v>
          </cell>
          <cell r="B178" t="str">
            <v>PPOSG</v>
          </cell>
        </row>
        <row r="179">
          <cell r="A179" t="str">
            <v>H13</v>
          </cell>
          <cell r="B179" t="str">
            <v>CAME</v>
          </cell>
        </row>
        <row r="180">
          <cell r="A180" t="str">
            <v>H15</v>
          </cell>
          <cell r="B180" t="str">
            <v>LADL</v>
          </cell>
        </row>
        <row r="181">
          <cell r="A181" t="str">
            <v>H11</v>
          </cell>
          <cell r="B181" t="str">
            <v>LAMD</v>
          </cell>
        </row>
        <row r="182">
          <cell r="A182" t="str">
            <v>H16</v>
          </cell>
          <cell r="B182" t="str">
            <v>SDDL</v>
          </cell>
        </row>
        <row r="183">
          <cell r="A183" t="str">
            <v>H12</v>
          </cell>
          <cell r="B183" t="str">
            <v>SDMD</v>
          </cell>
        </row>
        <row r="184">
          <cell r="A184" t="str">
            <v>A35</v>
          </cell>
          <cell r="B184" t="str">
            <v>XXX</v>
          </cell>
        </row>
        <row r="185">
          <cell r="A185" t="str">
            <v>C38</v>
          </cell>
          <cell r="B185" t="str">
            <v>XXX</v>
          </cell>
        </row>
        <row r="186">
          <cell r="A186" t="str">
            <v>C41</v>
          </cell>
          <cell r="B186" t="str">
            <v>XXX</v>
          </cell>
        </row>
        <row r="187">
          <cell r="A187" t="str">
            <v>C42</v>
          </cell>
          <cell r="B187" t="str">
            <v>XXX</v>
          </cell>
        </row>
        <row r="188">
          <cell r="A188" t="str">
            <v>C43</v>
          </cell>
          <cell r="B188" t="str">
            <v>XXX</v>
          </cell>
        </row>
        <row r="189">
          <cell r="A189" t="str">
            <v>C44</v>
          </cell>
          <cell r="B189" t="str">
            <v>XXX</v>
          </cell>
        </row>
        <row r="190">
          <cell r="A190" t="str">
            <v>C45</v>
          </cell>
          <cell r="B190" t="str">
            <v>XXX</v>
          </cell>
        </row>
        <row r="191">
          <cell r="A191" t="str">
            <v>C46</v>
          </cell>
          <cell r="B191" t="str">
            <v>XXX</v>
          </cell>
        </row>
        <row r="192">
          <cell r="A192" t="str">
            <v>C47</v>
          </cell>
          <cell r="B192" t="str">
            <v>XXX</v>
          </cell>
        </row>
        <row r="193">
          <cell r="A193" t="str">
            <v>C48</v>
          </cell>
          <cell r="B193" t="str">
            <v>XXX</v>
          </cell>
        </row>
        <row r="194">
          <cell r="A194" t="str">
            <v>C49</v>
          </cell>
          <cell r="B194" t="str">
            <v>XXX</v>
          </cell>
        </row>
        <row r="195">
          <cell r="A195" t="str">
            <v>C51</v>
          </cell>
          <cell r="B195" t="str">
            <v>XXX</v>
          </cell>
        </row>
        <row r="196">
          <cell r="A196" t="str">
            <v>C52</v>
          </cell>
          <cell r="B196" t="str">
            <v>XXX</v>
          </cell>
        </row>
        <row r="197">
          <cell r="A197" t="str">
            <v>C53</v>
          </cell>
          <cell r="B197" t="str">
            <v>XXX</v>
          </cell>
        </row>
        <row r="198">
          <cell r="A198" t="str">
            <v>C54</v>
          </cell>
          <cell r="B198" t="str">
            <v>XXX</v>
          </cell>
        </row>
        <row r="199">
          <cell r="A199" t="str">
            <v>C55</v>
          </cell>
          <cell r="B199" t="str">
            <v>XXX</v>
          </cell>
        </row>
        <row r="200">
          <cell r="A200" t="str">
            <v>C57</v>
          </cell>
          <cell r="B200" t="str">
            <v>XXX</v>
          </cell>
        </row>
        <row r="201">
          <cell r="A201" t="str">
            <v>C61</v>
          </cell>
          <cell r="B201" t="str">
            <v>XXX</v>
          </cell>
        </row>
        <row r="202">
          <cell r="A202" t="str">
            <v>C63</v>
          </cell>
          <cell r="B202" t="str">
            <v>XXX</v>
          </cell>
        </row>
        <row r="203">
          <cell r="A203" t="str">
            <v>C64</v>
          </cell>
          <cell r="B203" t="str">
            <v>XXX</v>
          </cell>
        </row>
        <row r="204">
          <cell r="A204" t="str">
            <v>C65</v>
          </cell>
          <cell r="B204" t="str">
            <v>XXX</v>
          </cell>
        </row>
        <row r="205">
          <cell r="A205" t="str">
            <v>C66</v>
          </cell>
          <cell r="B205" t="str">
            <v>XXX</v>
          </cell>
        </row>
        <row r="206">
          <cell r="A206" t="str">
            <v>C67</v>
          </cell>
          <cell r="B206" t="str">
            <v>XXX</v>
          </cell>
        </row>
        <row r="207">
          <cell r="A207" t="str">
            <v>C72</v>
          </cell>
          <cell r="B207" t="str">
            <v>XXX</v>
          </cell>
        </row>
        <row r="208">
          <cell r="A208" t="str">
            <v>C81</v>
          </cell>
          <cell r="B208" t="str">
            <v>XXX</v>
          </cell>
        </row>
        <row r="209">
          <cell r="A209" t="str">
            <v>C91</v>
          </cell>
          <cell r="B209" t="str">
            <v>XXX</v>
          </cell>
        </row>
        <row r="210">
          <cell r="A210" t="str">
            <v>C92</v>
          </cell>
          <cell r="B210" t="str">
            <v>XXX</v>
          </cell>
        </row>
        <row r="211">
          <cell r="A211" t="str">
            <v>C98</v>
          </cell>
          <cell r="B211" t="str">
            <v>XXX</v>
          </cell>
        </row>
        <row r="212">
          <cell r="A212" t="str">
            <v>D75</v>
          </cell>
          <cell r="B212" t="str">
            <v>XXX</v>
          </cell>
        </row>
        <row r="213">
          <cell r="A213" t="str">
            <v>D95</v>
          </cell>
          <cell r="B213" t="str">
            <v>XXX</v>
          </cell>
        </row>
        <row r="214">
          <cell r="A214" t="str">
            <v>E91</v>
          </cell>
          <cell r="B214" t="str">
            <v>XXX</v>
          </cell>
        </row>
        <row r="215">
          <cell r="A215" t="str">
            <v>F18</v>
          </cell>
          <cell r="B215" t="str">
            <v>XXX</v>
          </cell>
        </row>
        <row r="216">
          <cell r="A216" t="str">
            <v>F19</v>
          </cell>
          <cell r="B216" t="str">
            <v>XXX</v>
          </cell>
        </row>
        <row r="217">
          <cell r="A217" t="str">
            <v>F32</v>
          </cell>
          <cell r="B217" t="str">
            <v>XXX</v>
          </cell>
        </row>
        <row r="218">
          <cell r="A218" t="str">
            <v>F41</v>
          </cell>
          <cell r="B218" t="str">
            <v>XXX</v>
          </cell>
        </row>
        <row r="219">
          <cell r="A219" t="str">
            <v>F52</v>
          </cell>
          <cell r="B219" t="str">
            <v>XXX</v>
          </cell>
        </row>
        <row r="220">
          <cell r="A220" t="str">
            <v>F55</v>
          </cell>
          <cell r="B220" t="str">
            <v>XXX</v>
          </cell>
        </row>
        <row r="221">
          <cell r="A221" t="str">
            <v>K41</v>
          </cell>
          <cell r="B221" t="str">
            <v>XXX</v>
          </cell>
        </row>
        <row r="222">
          <cell r="A222" t="str">
            <v>L41</v>
          </cell>
          <cell r="B222" t="str">
            <v>XXX</v>
          </cell>
        </row>
        <row r="223">
          <cell r="A223" t="str">
            <v>L42</v>
          </cell>
          <cell r="B223" t="str">
            <v>XXX</v>
          </cell>
        </row>
        <row r="224">
          <cell r="A224" t="str">
            <v>L43</v>
          </cell>
          <cell r="B224" t="str">
            <v>XXX</v>
          </cell>
        </row>
        <row r="225">
          <cell r="A225" t="str">
            <v>L44</v>
          </cell>
          <cell r="B225" t="str">
            <v>XXX</v>
          </cell>
        </row>
        <row r="226">
          <cell r="A226" t="str">
            <v>L45</v>
          </cell>
          <cell r="B226" t="str">
            <v>XXX</v>
          </cell>
        </row>
        <row r="227">
          <cell r="A227" t="str">
            <v>L46</v>
          </cell>
          <cell r="B227" t="str">
            <v>XXX</v>
          </cell>
        </row>
        <row r="228">
          <cell r="A228" t="str">
            <v>L49</v>
          </cell>
          <cell r="B228" t="str">
            <v>XXX</v>
          </cell>
        </row>
        <row r="229">
          <cell r="A229" t="str">
            <v>L59</v>
          </cell>
          <cell r="B229" t="str">
            <v>XXX</v>
          </cell>
        </row>
        <row r="230">
          <cell r="A230" t="str">
            <v>M41</v>
          </cell>
          <cell r="B230" t="str">
            <v>XXX</v>
          </cell>
        </row>
        <row r="231">
          <cell r="A231" t="str">
            <v>M72</v>
          </cell>
          <cell r="B231" t="str">
            <v>XXX</v>
          </cell>
        </row>
        <row r="232">
          <cell r="A232" t="str">
            <v>M75</v>
          </cell>
          <cell r="B232" t="str">
            <v>XXX</v>
          </cell>
        </row>
        <row r="233">
          <cell r="A233" t="str">
            <v>N32</v>
          </cell>
          <cell r="B233" t="str">
            <v>XXX</v>
          </cell>
        </row>
        <row r="234">
          <cell r="A234" t="str">
            <v>N34</v>
          </cell>
          <cell r="B234" t="str">
            <v>XXX</v>
          </cell>
        </row>
        <row r="235">
          <cell r="A235" t="str">
            <v>N41</v>
          </cell>
          <cell r="B235" t="str">
            <v>XXX</v>
          </cell>
        </row>
        <row r="236">
          <cell r="A236" t="str">
            <v>N42</v>
          </cell>
          <cell r="B236" t="str">
            <v>XXX</v>
          </cell>
        </row>
        <row r="237">
          <cell r="A237" t="str">
            <v>N43</v>
          </cell>
          <cell r="B237" t="str">
            <v>XXX</v>
          </cell>
        </row>
        <row r="238">
          <cell r="A238" t="str">
            <v>N44</v>
          </cell>
          <cell r="B238" t="str">
            <v>XXX</v>
          </cell>
        </row>
        <row r="239">
          <cell r="A239" t="str">
            <v>N45</v>
          </cell>
          <cell r="B239" t="str">
            <v>XXX</v>
          </cell>
        </row>
        <row r="240">
          <cell r="A240" t="str">
            <v>N46</v>
          </cell>
          <cell r="B240" t="str">
            <v>XXX</v>
          </cell>
        </row>
        <row r="241">
          <cell r="A241" t="str">
            <v>N53</v>
          </cell>
          <cell r="B241" t="str">
            <v>XXX</v>
          </cell>
        </row>
        <row r="242">
          <cell r="A242" t="str">
            <v>N91</v>
          </cell>
          <cell r="B242" t="str">
            <v>XXX</v>
          </cell>
        </row>
        <row r="243">
          <cell r="A243" t="str">
            <v>R23</v>
          </cell>
          <cell r="B243" t="str">
            <v>XXX</v>
          </cell>
        </row>
        <row r="244">
          <cell r="A244" t="str">
            <v>T11</v>
          </cell>
          <cell r="B244" t="str">
            <v>XXX</v>
          </cell>
        </row>
        <row r="245">
          <cell r="A245" t="str">
            <v>T12</v>
          </cell>
          <cell r="B245" t="str">
            <v>XXX</v>
          </cell>
        </row>
        <row r="246">
          <cell r="A246" t="str">
            <v>UNA</v>
          </cell>
          <cell r="B246" t="str">
            <v>XXX</v>
          </cell>
        </row>
        <row r="247">
          <cell r="A247" t="str">
            <v>U95</v>
          </cell>
          <cell r="B247" t="str">
            <v>XXX</v>
          </cell>
        </row>
        <row r="248">
          <cell r="A248" t="str">
            <v>U96</v>
          </cell>
          <cell r="B248" t="str">
            <v>XXX</v>
          </cell>
        </row>
        <row r="249">
          <cell r="A249" t="str">
            <v>XXX</v>
          </cell>
          <cell r="B249" t="str">
            <v>XXX</v>
          </cell>
        </row>
        <row r="250">
          <cell r="A250">
            <v>0</v>
          </cell>
          <cell r="B250" t="str">
            <v>XXX</v>
          </cell>
        </row>
        <row r="251">
          <cell r="A251">
            <v>33</v>
          </cell>
          <cell r="B251" t="str">
            <v>XXX</v>
          </cell>
        </row>
        <row r="252">
          <cell r="A252">
            <v>81</v>
          </cell>
          <cell r="B252" t="str">
            <v>XXX</v>
          </cell>
        </row>
        <row r="253">
          <cell r="A253">
            <v>82</v>
          </cell>
          <cell r="B253" t="str">
            <v>XXX</v>
          </cell>
        </row>
        <row r="254">
          <cell r="A254">
            <v>91</v>
          </cell>
          <cell r="B254" t="str">
            <v>XXX</v>
          </cell>
        </row>
        <row r="255">
          <cell r="A255">
            <v>92</v>
          </cell>
          <cell r="B255" t="str">
            <v>XXX</v>
          </cell>
        </row>
        <row r="256">
          <cell r="A256">
            <v>94</v>
          </cell>
          <cell r="B256" t="str">
            <v>XXX</v>
          </cell>
        </row>
        <row r="257">
          <cell r="A257">
            <v>96</v>
          </cell>
          <cell r="B257" t="str">
            <v>XXX</v>
          </cell>
        </row>
        <row r="258">
          <cell r="A258">
            <v>98</v>
          </cell>
          <cell r="B258" t="str">
            <v>XXX</v>
          </cell>
        </row>
        <row r="259">
          <cell r="A259">
            <v>99</v>
          </cell>
          <cell r="B259" t="str">
            <v>XXX</v>
          </cell>
        </row>
        <row r="260">
          <cell r="A260">
            <v>901</v>
          </cell>
          <cell r="B260" t="str">
            <v>XXX</v>
          </cell>
        </row>
        <row r="261">
          <cell r="A261">
            <v>911</v>
          </cell>
          <cell r="B261" t="str">
            <v>XXX</v>
          </cell>
        </row>
        <row r="262">
          <cell r="A262">
            <v>950</v>
          </cell>
          <cell r="B262" t="str">
            <v>XXX</v>
          </cell>
        </row>
        <row r="263">
          <cell r="A263">
            <v>971</v>
          </cell>
          <cell r="B263" t="str">
            <v>XXX</v>
          </cell>
        </row>
        <row r="264">
          <cell r="A264" t="str">
            <v>C32</v>
          </cell>
          <cell r="B264" t="str">
            <v>XXX</v>
          </cell>
        </row>
        <row r="265">
          <cell r="A265" t="str">
            <v>C28</v>
          </cell>
          <cell r="B265" t="str">
            <v>XXX</v>
          </cell>
        </row>
        <row r="266">
          <cell r="A266" t="str">
            <v>E65</v>
          </cell>
          <cell r="B266" t="str">
            <v>AGDMHC</v>
          </cell>
        </row>
        <row r="267">
          <cell r="A267" t="str">
            <v>E71</v>
          </cell>
          <cell r="B267" t="str">
            <v>AGDMHC</v>
          </cell>
        </row>
        <row r="268">
          <cell r="A268" t="str">
            <v>DXX</v>
          </cell>
          <cell r="B268" t="str">
            <v>XXX</v>
          </cell>
        </row>
      </sheetData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R36"/>
  <sheetViews>
    <sheetView showGridLines="0" tabSelected="1" workbookViewId="0"/>
  </sheetViews>
  <sheetFormatPr defaultRowHeight="15" x14ac:dyDescent="0.25"/>
  <cols>
    <col min="1" max="1" width="11.42578125" customWidth="1"/>
    <col min="2" max="2" width="10.5703125" bestFit="1" customWidth="1"/>
    <col min="3" max="3" width="9" style="54" bestFit="1" customWidth="1"/>
    <col min="4" max="4" width="9" bestFit="1" customWidth="1"/>
    <col min="5" max="5" width="9" style="54" bestFit="1" customWidth="1"/>
    <col min="6" max="6" width="8" style="54" bestFit="1" customWidth="1"/>
    <col min="7" max="7" width="4" customWidth="1"/>
    <col min="8" max="8" width="10.85546875" customWidth="1"/>
    <col min="9" max="9" width="14.42578125" bestFit="1" customWidth="1"/>
    <col min="10" max="10" width="13.7109375" bestFit="1" customWidth="1"/>
    <col min="11" max="11" width="5" style="54" customWidth="1"/>
    <col min="12" max="12" width="15" bestFit="1" customWidth="1"/>
    <col min="13" max="13" width="12.85546875" bestFit="1" customWidth="1"/>
    <col min="14" max="14" width="12.140625" bestFit="1" customWidth="1"/>
    <col min="15" max="15" width="4.85546875" customWidth="1"/>
    <col min="16" max="17" width="11.7109375" bestFit="1" customWidth="1"/>
    <col min="18" max="18" width="10.85546875" bestFit="1" customWidth="1"/>
    <col min="19" max="19" width="10.5703125" bestFit="1" customWidth="1"/>
  </cols>
  <sheetData>
    <row r="1" spans="1:18" x14ac:dyDescent="0.25">
      <c r="H1" s="15" t="s">
        <v>889</v>
      </c>
    </row>
    <row r="2" spans="1:18" x14ac:dyDescent="0.25">
      <c r="A2" s="15" t="s">
        <v>861</v>
      </c>
      <c r="H2" s="34" t="b">
        <f>COUNTA(Reserves!A:A)&lt;1000</f>
        <v>1</v>
      </c>
      <c r="I2" s="15" t="s">
        <v>895</v>
      </c>
      <c r="L2" s="15" t="s">
        <v>953</v>
      </c>
      <c r="P2" s="15" t="s">
        <v>954</v>
      </c>
    </row>
    <row r="3" spans="1:18" x14ac:dyDescent="0.25">
      <c r="A3" s="54" t="s">
        <v>10</v>
      </c>
      <c r="B3" s="68" t="s">
        <v>862</v>
      </c>
      <c r="C3" s="68" t="s">
        <v>863</v>
      </c>
      <c r="D3" s="68" t="s">
        <v>864</v>
      </c>
      <c r="E3" s="68" t="s">
        <v>865</v>
      </c>
      <c r="F3" s="68" t="s">
        <v>866</v>
      </c>
      <c r="H3" s="54" t="s">
        <v>10</v>
      </c>
      <c r="I3" s="15" t="s">
        <v>890</v>
      </c>
      <c r="J3" s="15" t="s">
        <v>923</v>
      </c>
      <c r="L3" s="15" t="s">
        <v>10</v>
      </c>
      <c r="M3" s="15" t="s">
        <v>896</v>
      </c>
      <c r="N3" s="15" t="s">
        <v>861</v>
      </c>
      <c r="P3" s="15" t="s">
        <v>10</v>
      </c>
      <c r="Q3" s="15" t="s">
        <v>896</v>
      </c>
      <c r="R3" s="15" t="s">
        <v>861</v>
      </c>
    </row>
    <row r="4" spans="1:18" x14ac:dyDescent="0.25">
      <c r="A4" s="29" t="s">
        <v>82</v>
      </c>
      <c r="B4" s="97">
        <f>SUMIFS(BIS!I$3:I$1001,BIS!$C$3:$C$1001,$A4)</f>
        <v>70903.549999999843</v>
      </c>
      <c r="C4" s="116">
        <f>SUMIFS('BIS-D'!$J$3:$J$1000,'BIS-D'!$C$3:$C$1000,Members!$A4)</f>
        <v>0</v>
      </c>
      <c r="D4" s="70">
        <f>SUMIFS(BIS!K$3:K$1001,BIS!$C$3:$C$1001,$A4)</f>
        <v>70903.549999999843</v>
      </c>
      <c r="E4" s="116">
        <f>SUMIFS('BIS-V'!$J$3:$J$1000,'BIS-V'!$C$3:$C$1000,Members!$A4)</f>
        <v>0</v>
      </c>
      <c r="F4" s="70">
        <f>SUMIFS(BIS!M$3:M$1001,BIS!$C$3:$C$1001,$A4)</f>
        <v>10</v>
      </c>
      <c r="H4" s="29" t="s">
        <v>82</v>
      </c>
      <c r="I4" s="87">
        <f>SUMIFS(Reserves!$F$9:$F$1000,Reserves!$C$9:$C$1000,H4,Reserves!$E$9:$E$1000,"P")</f>
        <v>71085</v>
      </c>
      <c r="J4" s="87">
        <f>SUMIFS(Reserves!$F$9:$F$1000,Reserves!$C$9:$C$1000,H4,Reserves!$E$9:$E$1000,"S")</f>
        <v>71085</v>
      </c>
      <c r="K4" s="32"/>
      <c r="L4" s="29" t="s">
        <v>82</v>
      </c>
      <c r="M4" s="26">
        <f>Members!I4</f>
        <v>71085</v>
      </c>
      <c r="N4" s="102">
        <f>Members!B4</f>
        <v>70903.549999999843</v>
      </c>
      <c r="P4" s="29" t="s">
        <v>82</v>
      </c>
      <c r="Q4" s="26">
        <f>Members!J4</f>
        <v>71085</v>
      </c>
      <c r="R4" s="102">
        <f>Members!D4</f>
        <v>70903.549999999843</v>
      </c>
    </row>
    <row r="5" spans="1:18" x14ac:dyDescent="0.25">
      <c r="A5" s="30" t="s">
        <v>163</v>
      </c>
      <c r="B5" s="71">
        <f>SUMIFS(BIS!I$3:I$1001,BIS!$C$3:$C$1001,$A5)</f>
        <v>719902.32000000845</v>
      </c>
      <c r="C5" s="117">
        <f>SUMIFS('BIS-D'!$J$3:$J$1000,'BIS-D'!$C$3:$C$1000,Members!$A5)</f>
        <v>0</v>
      </c>
      <c r="D5" s="71">
        <f>SUMIFS(BIS!K$3:K$1001,BIS!$C$3:$C$1001,$A5)</f>
        <v>719902.32000000845</v>
      </c>
      <c r="E5" s="117">
        <f>SUMIFS('BIS-V'!$J$3:$J$1000,'BIS-V'!$C$3:$C$1000,Members!$A5)</f>
        <v>0</v>
      </c>
      <c r="F5" s="71">
        <f>SUMIFS(BIS!M$3:M$1001,BIS!$C$3:$C$1001,$A5)</f>
        <v>608.57999999999993</v>
      </c>
      <c r="H5" s="30" t="s">
        <v>163</v>
      </c>
      <c r="I5" s="27">
        <f>SUMIFS(Reserves!$F$9:$F$1000,Reserves!$C$9:$C$1000,H5,Reserves!$E$9:$E$1000,"P")</f>
        <v>719335</v>
      </c>
      <c r="J5" s="71">
        <f>SUMIFS(Reserves!$F$9:$F$1000,Reserves!$C$9:$C$1000,H5,Reserves!$E$9:$E$1000,"S")</f>
        <v>719335</v>
      </c>
      <c r="K5" s="32"/>
      <c r="L5" s="30" t="s">
        <v>163</v>
      </c>
      <c r="M5" s="27">
        <f>Members!I5</f>
        <v>719335</v>
      </c>
      <c r="N5" s="99">
        <f>Members!B5</f>
        <v>719902.32000000845</v>
      </c>
      <c r="P5" s="30" t="s">
        <v>163</v>
      </c>
      <c r="Q5" s="27">
        <f>Members!J5</f>
        <v>719335</v>
      </c>
      <c r="R5" s="99">
        <f>Members!D5</f>
        <v>719902.32000000845</v>
      </c>
    </row>
    <row r="6" spans="1:18" x14ac:dyDescent="0.25">
      <c r="A6" s="31" t="s">
        <v>38</v>
      </c>
      <c r="B6" s="72">
        <f>SUMIFS(BIS!I$3:I$1001,BIS!$C$3:$C$1001,$A6)</f>
        <v>27273.03</v>
      </c>
      <c r="C6" s="118">
        <f>SUMIFS('BIS-D'!$J$3:$J$1000,'BIS-D'!$C$3:$C$1000,Members!$A6)</f>
        <v>0</v>
      </c>
      <c r="D6" s="72">
        <f>SUMIFS(BIS!K$3:K$1001,BIS!$C$3:$C$1001,$A6)</f>
        <v>27273.03</v>
      </c>
      <c r="E6" s="118">
        <f>SUMIFS('BIS-V'!$J$3:$J$1000,'BIS-V'!$C$3:$C$1000,Members!$A6)</f>
        <v>0</v>
      </c>
      <c r="F6" s="72">
        <f>SUMIFS(BIS!M$3:M$1001,BIS!$C$3:$C$1001,$A6)</f>
        <v>480.45</v>
      </c>
      <c r="H6" s="31" t="s">
        <v>38</v>
      </c>
      <c r="I6" s="28">
        <f>SUMIFS(Reserves!$F$9:$F$1000,Reserves!$C$9:$C$1000,H6,Reserves!$E$9:$E$1000,"P")</f>
        <v>27306</v>
      </c>
      <c r="J6" s="72">
        <f>SUMIFS(Reserves!$F$9:$F$1000,Reserves!$C$9:$C$1000,H6,Reserves!$E$9:$E$1000,"S")</f>
        <v>27306</v>
      </c>
      <c r="K6" s="32"/>
      <c r="L6" s="31" t="s">
        <v>38</v>
      </c>
      <c r="M6" s="28">
        <f>Members!I6</f>
        <v>27306</v>
      </c>
      <c r="N6" s="103">
        <f>Members!B6</f>
        <v>27273.03</v>
      </c>
      <c r="P6" s="31" t="s">
        <v>38</v>
      </c>
      <c r="Q6" s="28">
        <f>Members!J6</f>
        <v>27306</v>
      </c>
      <c r="R6" s="103">
        <f>Members!D6</f>
        <v>27273.03</v>
      </c>
    </row>
    <row r="7" spans="1:18" x14ac:dyDescent="0.25">
      <c r="A7" s="29" t="s">
        <v>136</v>
      </c>
      <c r="B7" s="70">
        <f>SUMIFS(BIS!I$3:I$1001,BIS!$C$3:$C$1001,$A7)</f>
        <v>136637.22000000006</v>
      </c>
      <c r="C7" s="116">
        <f>SUMIFS('BIS-D'!$J$3:$J$1000,'BIS-D'!$C$3:$C$1000,Members!$A7)</f>
        <v>0</v>
      </c>
      <c r="D7" s="70">
        <f>SUMIFS(BIS!K$3:K$1001,BIS!$C$3:$C$1001,$A7)</f>
        <v>136637.22000000006</v>
      </c>
      <c r="E7" s="116">
        <f>SUMIFS('BIS-V'!$J$3:$J$1000,'BIS-V'!$C$3:$C$1000,Members!$A7)</f>
        <v>0</v>
      </c>
      <c r="F7" s="70">
        <f>SUMIFS(BIS!M$3:M$1001,BIS!$C$3:$C$1001,$A7)</f>
        <v>7419.2800000000016</v>
      </c>
      <c r="H7" s="29" t="s">
        <v>136</v>
      </c>
      <c r="I7" s="26">
        <f>SUMIFS(Reserves!$F$9:$F$1000,Reserves!$C$9:$C$1000,H7,Reserves!$E$9:$E$1000,"P")</f>
        <v>136772</v>
      </c>
      <c r="J7" s="70">
        <f>SUMIFS(Reserves!$F$9:$F$1000,Reserves!$C$9:$C$1000,H7,Reserves!$E$9:$E$1000,"S")</f>
        <v>136772</v>
      </c>
      <c r="K7" s="32"/>
      <c r="L7" s="29" t="s">
        <v>136</v>
      </c>
      <c r="M7" s="26">
        <f>Members!I7</f>
        <v>136772</v>
      </c>
      <c r="N7" s="102">
        <f>Members!B7</f>
        <v>136637.22000000006</v>
      </c>
      <c r="P7" s="29" t="s">
        <v>136</v>
      </c>
      <c r="Q7" s="26">
        <f>Members!J7</f>
        <v>136772</v>
      </c>
      <c r="R7" s="102">
        <f>Members!D7</f>
        <v>136637.22000000006</v>
      </c>
    </row>
    <row r="8" spans="1:18" x14ac:dyDescent="0.25">
      <c r="A8" s="30" t="s">
        <v>206</v>
      </c>
      <c r="B8" s="71">
        <f>SUMIFS(BIS!I$3:I$1001,BIS!$C$3:$C$1001,$A8)</f>
        <v>404676.58000000054</v>
      </c>
      <c r="C8" s="117">
        <f>SUMIFS('BIS-D'!$J$3:$J$1000,'BIS-D'!$C$3:$C$1000,Members!$A8)</f>
        <v>0</v>
      </c>
      <c r="D8" s="71">
        <f>SUMIFS(BIS!K$3:K$1001,BIS!$C$3:$C$1001,$A8)</f>
        <v>404676.58000000054</v>
      </c>
      <c r="E8" s="117">
        <f>SUMIFS('BIS-V'!$J$3:$J$1000,'BIS-V'!$C$3:$C$1000,Members!$A8)</f>
        <v>0</v>
      </c>
      <c r="F8" s="71">
        <f>SUMIFS(BIS!M$3:M$1001,BIS!$C$3:$C$1001,$A8)</f>
        <v>15040.389999999998</v>
      </c>
      <c r="H8" s="30" t="s">
        <v>206</v>
      </c>
      <c r="I8" s="27">
        <f>SUMIFS(Reserves!$F$9:$F$1000,Reserves!$C$9:$C$1000,H8,Reserves!$E$9:$E$1000,"P")</f>
        <v>405237</v>
      </c>
      <c r="J8" s="71">
        <f>SUMIFS(Reserves!$F$9:$F$1000,Reserves!$C$9:$C$1000,H8,Reserves!$E$9:$E$1000,"S")</f>
        <v>405237</v>
      </c>
      <c r="K8" s="32"/>
      <c r="L8" s="30" t="s">
        <v>206</v>
      </c>
      <c r="M8" s="27">
        <f>Members!I8</f>
        <v>405237</v>
      </c>
      <c r="N8" s="99">
        <f>Members!B8</f>
        <v>404676.58000000054</v>
      </c>
      <c r="P8" s="30" t="s">
        <v>206</v>
      </c>
      <c r="Q8" s="27">
        <f>Members!J8</f>
        <v>405237</v>
      </c>
      <c r="R8" s="99">
        <f>Members!D8</f>
        <v>404676.58000000054</v>
      </c>
    </row>
    <row r="9" spans="1:18" x14ac:dyDescent="0.25">
      <c r="A9" s="31" t="s">
        <v>52</v>
      </c>
      <c r="B9" s="72">
        <f>SUMIFS(BIS!I$3:I$1001,BIS!$C$3:$C$1001,$A9)</f>
        <v>0</v>
      </c>
      <c r="C9" s="118">
        <f>SUMIFS('BIS-D'!$J$3:$J$1000,'BIS-D'!$C$3:$C$1000,Members!$A9)</f>
        <v>0</v>
      </c>
      <c r="D9" s="72">
        <f>SUMIFS(BIS!K$3:K$1001,BIS!$C$3:$C$1001,$A9)</f>
        <v>0</v>
      </c>
      <c r="E9" s="118">
        <f>SUMIFS('BIS-V'!$J$3:$J$1000,'BIS-V'!$C$3:$C$1000,Members!$A9)</f>
        <v>0</v>
      </c>
      <c r="F9" s="72">
        <f>SUMIFS(BIS!M$3:M$1001,BIS!$C$3:$C$1001,$A9)</f>
        <v>313</v>
      </c>
      <c r="H9" s="31" t="s">
        <v>52</v>
      </c>
      <c r="I9" s="28">
        <f>SUMIFS(Reserves!$F$9:$F$1000,Reserves!$C$9:$C$1000,H9,Reserves!$E$9:$E$1000,"P")</f>
        <v>0</v>
      </c>
      <c r="J9" s="72">
        <f>SUMIFS(Reserves!$F$9:$F$1000,Reserves!$C$9:$C$1000,H9,Reserves!$E$9:$E$1000,"S")</f>
        <v>0</v>
      </c>
      <c r="K9" s="32"/>
      <c r="L9" s="31" t="s">
        <v>52</v>
      </c>
      <c r="M9" s="28">
        <f>Members!I9</f>
        <v>0</v>
      </c>
      <c r="N9" s="103">
        <f>Members!B9</f>
        <v>0</v>
      </c>
      <c r="P9" s="31" t="s">
        <v>52</v>
      </c>
      <c r="Q9" s="28">
        <f>Members!J9</f>
        <v>0</v>
      </c>
      <c r="R9" s="103">
        <f>Members!D9</f>
        <v>0</v>
      </c>
    </row>
    <row r="10" spans="1:18" x14ac:dyDescent="0.25">
      <c r="A10" s="29" t="s">
        <v>87</v>
      </c>
      <c r="B10" s="70">
        <f>SUMIFS(BIS!I$3:I$1001,BIS!$C$3:$C$1001,$A10)</f>
        <v>163878.99999999997</v>
      </c>
      <c r="C10" s="116">
        <f>SUMIFS('BIS-D'!$J$3:$J$1000,'BIS-D'!$C$3:$C$1000,Members!$A10)</f>
        <v>0</v>
      </c>
      <c r="D10" s="70">
        <f>SUMIFS(BIS!K$3:K$1001,BIS!$C$3:$C$1001,$A10)</f>
        <v>161537.12999999998</v>
      </c>
      <c r="E10" s="116">
        <f>SUMIFS('BIS-V'!$J$3:$J$1000,'BIS-V'!$C$3:$C$1000,Members!$A10)</f>
        <v>0</v>
      </c>
      <c r="F10" s="70">
        <f>SUMIFS(BIS!M$3:M$1001,BIS!$C$3:$C$1001,$A10)</f>
        <v>12934.019999999999</v>
      </c>
      <c r="H10" s="29" t="s">
        <v>87</v>
      </c>
      <c r="I10" s="26">
        <f>SUMIFS(Reserves!$F$9:$F$1000,Reserves!$C$9:$C$1000,H10,Reserves!$E$9:$E$1000,"P")</f>
        <v>164644</v>
      </c>
      <c r="J10" s="70">
        <f>SUMIFS(Reserves!$F$9:$F$1000,Reserves!$C$9:$C$1000,H10,Reserves!$E$9:$E$1000,"S")</f>
        <v>164635</v>
      </c>
      <c r="K10" s="32"/>
      <c r="L10" s="29" t="s">
        <v>87</v>
      </c>
      <c r="M10" s="26">
        <f>Members!I10</f>
        <v>164644</v>
      </c>
      <c r="N10" s="102">
        <f>Members!B10</f>
        <v>163878.99999999997</v>
      </c>
      <c r="P10" s="29" t="s">
        <v>87</v>
      </c>
      <c r="Q10" s="26">
        <f>Members!J10</f>
        <v>164635</v>
      </c>
      <c r="R10" s="102">
        <f>Members!D10</f>
        <v>161537.12999999998</v>
      </c>
    </row>
    <row r="11" spans="1:18" x14ac:dyDescent="0.25">
      <c r="A11" s="30" t="s">
        <v>172</v>
      </c>
      <c r="B11" s="71">
        <f>SUMIFS(BIS!I$3:I$1001,BIS!$C$3:$C$1001,$A11)</f>
        <v>194615.40000000238</v>
      </c>
      <c r="C11" s="117">
        <f>SUMIFS('BIS-D'!$J$3:$J$1000,'BIS-D'!$C$3:$C$1000,Members!$A11)</f>
        <v>0</v>
      </c>
      <c r="D11" s="71">
        <f>SUMIFS(BIS!K$3:K$1001,BIS!$C$3:$C$1001,$A11)</f>
        <v>193454.53000000239</v>
      </c>
      <c r="E11" s="117">
        <f>SUMIFS('BIS-V'!$J$3:$J$1000,'BIS-V'!$C$3:$C$1000,Members!$A11)</f>
        <v>0</v>
      </c>
      <c r="F11" s="71">
        <f>SUMIFS(BIS!M$3:M$1001,BIS!$C$3:$C$1001,$A11)</f>
        <v>8495.61</v>
      </c>
      <c r="H11" s="30" t="s">
        <v>172</v>
      </c>
      <c r="I11" s="27">
        <f>SUMIFS(Reserves!$F$9:$F$1000,Reserves!$C$9:$C$1000,H11,Reserves!$E$9:$E$1000,"P")</f>
        <v>194879</v>
      </c>
      <c r="J11" s="71">
        <f>SUMIFS(Reserves!$F$9:$F$1000,Reserves!$C$9:$C$1000,H11,Reserves!$E$9:$E$1000,"S")</f>
        <v>194745</v>
      </c>
      <c r="K11" s="32"/>
      <c r="L11" s="30" t="s">
        <v>172</v>
      </c>
      <c r="M11" s="27">
        <f>Members!I11</f>
        <v>194879</v>
      </c>
      <c r="N11" s="99">
        <f>Members!B11</f>
        <v>194615.40000000238</v>
      </c>
      <c r="P11" s="30" t="s">
        <v>172</v>
      </c>
      <c r="Q11" s="27">
        <f>Members!J11</f>
        <v>194745</v>
      </c>
      <c r="R11" s="99">
        <f>Members!D11</f>
        <v>193454.53000000239</v>
      </c>
    </row>
    <row r="12" spans="1:18" x14ac:dyDescent="0.25">
      <c r="A12" s="31" t="s">
        <v>44</v>
      </c>
      <c r="B12" s="72">
        <f>SUMIFS(BIS!I$3:I$1001,BIS!$C$3:$C$1001,$A12)</f>
        <v>5190.83</v>
      </c>
      <c r="C12" s="118">
        <f>SUMIFS('BIS-D'!$J$3:$J$1000,'BIS-D'!$C$3:$C$1000,Members!$A12)</f>
        <v>0</v>
      </c>
      <c r="D12" s="72">
        <f>SUMIFS(BIS!K$3:K$1001,BIS!$C$3:$C$1001,$A12)</f>
        <v>5190.83</v>
      </c>
      <c r="E12" s="118">
        <f>SUMIFS('BIS-V'!$J$3:$J$1000,'BIS-V'!$C$3:$C$1000,Members!$A12)</f>
        <v>0</v>
      </c>
      <c r="F12" s="72">
        <f>SUMIFS(BIS!M$3:M$1001,BIS!$C$3:$C$1001,$A12)</f>
        <v>1498.6100000000001</v>
      </c>
      <c r="H12" s="31" t="s">
        <v>44</v>
      </c>
      <c r="I12" s="28">
        <f>SUMIFS(Reserves!$F$9:$F$1000,Reserves!$C$9:$C$1000,H12,Reserves!$E$9:$E$1000,"P")</f>
        <v>5196</v>
      </c>
      <c r="J12" s="72">
        <f>SUMIFS(Reserves!$F$9:$F$1000,Reserves!$C$9:$C$1000,H12,Reserves!$E$9:$E$1000,"S")</f>
        <v>5196</v>
      </c>
      <c r="K12" s="32"/>
      <c r="L12" s="31" t="s">
        <v>44</v>
      </c>
      <c r="M12" s="28">
        <f>Members!I12</f>
        <v>5196</v>
      </c>
      <c r="N12" s="103">
        <f>Members!B12</f>
        <v>5190.83</v>
      </c>
      <c r="P12" s="31" t="s">
        <v>44</v>
      </c>
      <c r="Q12" s="28">
        <f>Members!J12</f>
        <v>5196</v>
      </c>
      <c r="R12" s="103">
        <f>Members!D12</f>
        <v>5190.83</v>
      </c>
    </row>
    <row r="13" spans="1:18" x14ac:dyDescent="0.25">
      <c r="A13" s="29" t="s">
        <v>125</v>
      </c>
      <c r="B13" s="70">
        <f>SUMIFS(BIS!I$3:I$1001,BIS!$C$3:$C$1001,$A13)</f>
        <v>192464.97999999989</v>
      </c>
      <c r="C13" s="116">
        <f>SUMIFS('BIS-D'!$J$3:$J$1000,'BIS-D'!$C$3:$C$1000,Members!$A13)</f>
        <v>0</v>
      </c>
      <c r="D13" s="70">
        <f>SUMIFS(BIS!K$3:K$1001,BIS!$C$3:$C$1001,$A13)</f>
        <v>141226.55999999994</v>
      </c>
      <c r="E13" s="116">
        <f>SUMIFS('BIS-V'!$J$3:$J$1000,'BIS-V'!$C$3:$C$1000,Members!$A13)</f>
        <v>0</v>
      </c>
      <c r="F13" s="70">
        <f>SUMIFS(BIS!M$3:M$1001,BIS!$C$3:$C$1001,$A13)</f>
        <v>9417.9699999999993</v>
      </c>
      <c r="H13" s="29" t="s">
        <v>125</v>
      </c>
      <c r="I13" s="26">
        <f>SUMIFS(Reserves!$F$9:$F$1000,Reserves!$C$9:$C$1000,H13,Reserves!$E$9:$E$1000,"P")</f>
        <v>191263</v>
      </c>
      <c r="J13" s="70">
        <f>SUMIFS(Reserves!$F$9:$F$1000,Reserves!$C$9:$C$1000,H13,Reserves!$E$9:$E$1000,"S")</f>
        <v>183503</v>
      </c>
      <c r="K13" s="32"/>
      <c r="L13" s="29" t="s">
        <v>125</v>
      </c>
      <c r="M13" s="26">
        <f>Members!I13</f>
        <v>191263</v>
      </c>
      <c r="N13" s="102">
        <f>Members!B13</f>
        <v>192464.97999999989</v>
      </c>
      <c r="P13" s="29" t="s">
        <v>125</v>
      </c>
      <c r="Q13" s="26">
        <f>Members!J13</f>
        <v>183503</v>
      </c>
      <c r="R13" s="102">
        <f>Members!D13</f>
        <v>141226.55999999994</v>
      </c>
    </row>
    <row r="14" spans="1:18" x14ac:dyDescent="0.25">
      <c r="A14" s="31" t="s">
        <v>198</v>
      </c>
      <c r="B14" s="72">
        <f>SUMIFS(BIS!I$3:I$1001,BIS!$C$3:$C$1001,$A14)</f>
        <v>33396.610000000008</v>
      </c>
      <c r="C14" s="118">
        <f>SUMIFS('BIS-D'!$J$3:$J$1000,'BIS-D'!$C$3:$C$1000,Members!$A14)</f>
        <v>0</v>
      </c>
      <c r="D14" s="72">
        <f>SUMIFS(BIS!K$3:K$1001,BIS!$C$3:$C$1001,$A14)</f>
        <v>25035.61</v>
      </c>
      <c r="E14" s="118">
        <f>SUMIFS('BIS-V'!$J$3:$J$1000,'BIS-V'!$C$3:$C$1000,Members!$A14)</f>
        <v>0</v>
      </c>
      <c r="F14" s="72">
        <f>SUMIFS(BIS!M$3:M$1001,BIS!$C$3:$C$1001,$A14)</f>
        <v>89</v>
      </c>
      <c r="H14" s="31" t="s">
        <v>198</v>
      </c>
      <c r="I14" s="28">
        <f>SUMIFS(Reserves!$F$9:$F$1000,Reserves!$C$9:$C$1000,H14,Reserves!$E$9:$E$1000,"P")</f>
        <v>33861</v>
      </c>
      <c r="J14" s="72">
        <f>SUMIFS(Reserves!$F$9:$F$1000,Reserves!$C$9:$C$1000,H14,Reserves!$E$9:$E$1000,"S")</f>
        <v>28582</v>
      </c>
      <c r="K14" s="32"/>
      <c r="L14" s="31" t="s">
        <v>198</v>
      </c>
      <c r="M14" s="28">
        <f>Members!I14</f>
        <v>33861</v>
      </c>
      <c r="N14" s="103">
        <f>Members!B14</f>
        <v>33396.610000000008</v>
      </c>
      <c r="P14" s="31" t="s">
        <v>198</v>
      </c>
      <c r="Q14" s="28">
        <f>Members!J14</f>
        <v>28582</v>
      </c>
      <c r="R14" s="103">
        <f>Members!D14</f>
        <v>25035.61</v>
      </c>
    </row>
    <row r="15" spans="1:18" x14ac:dyDescent="0.25">
      <c r="A15" s="29" t="s">
        <v>117</v>
      </c>
      <c r="B15" s="70">
        <f>SUMIFS(BIS!I$3:I$1001,BIS!$C$3:$C$1001,$A15)</f>
        <v>170524.78999999992</v>
      </c>
      <c r="C15" s="116">
        <f>SUMIFS('BIS-D'!$J$3:$J$1000,'BIS-D'!$C$3:$C$1000,Members!$A15)</f>
        <v>0</v>
      </c>
      <c r="D15" s="70">
        <f>SUMIFS(BIS!K$3:K$1001,BIS!$C$3:$C$1001,$A15)</f>
        <v>170524.78999999992</v>
      </c>
      <c r="E15" s="116">
        <f>SUMIFS('BIS-V'!$J$3:$J$1000,'BIS-V'!$C$3:$C$1000,Members!$A15)</f>
        <v>0</v>
      </c>
      <c r="F15" s="70">
        <f>SUMIFS(BIS!M$3:M$1001,BIS!$C$3:$C$1001,$A15)</f>
        <v>0</v>
      </c>
      <c r="H15" s="29" t="s">
        <v>117</v>
      </c>
      <c r="I15" s="26">
        <f>SUMIFS(Reserves!$F$9:$F$1000,Reserves!$C$9:$C$1000,H15,Reserves!$E$9:$E$1000,"P")</f>
        <v>170568</v>
      </c>
      <c r="J15" s="70">
        <f>SUMIFS(Reserves!$F$9:$F$1000,Reserves!$C$9:$C$1000,H15,Reserves!$E$9:$E$1000,"S")</f>
        <v>170568</v>
      </c>
      <c r="K15" s="32"/>
      <c r="L15" s="29" t="s">
        <v>117</v>
      </c>
      <c r="M15" s="26">
        <f>Members!I15</f>
        <v>170568</v>
      </c>
      <c r="N15" s="102">
        <f>Members!B15</f>
        <v>170524.78999999992</v>
      </c>
      <c r="P15" s="29" t="s">
        <v>117</v>
      </c>
      <c r="Q15" s="26">
        <f>Members!J15</f>
        <v>170568</v>
      </c>
      <c r="R15" s="102">
        <f>Members!D15</f>
        <v>170524.78999999992</v>
      </c>
    </row>
    <row r="16" spans="1:18" x14ac:dyDescent="0.25">
      <c r="A16" s="30" t="s">
        <v>122</v>
      </c>
      <c r="B16" s="71">
        <f>SUMIFS(BIS!I$3:I$1001,BIS!$C$3:$C$1001,$A16)</f>
        <v>0</v>
      </c>
      <c r="C16" s="117">
        <f>SUMIFS('BIS-D'!$J$3:$J$1000,'BIS-D'!$C$3:$C$1000,Members!$A16)</f>
        <v>0</v>
      </c>
      <c r="D16" s="71">
        <f>SUMIFS(BIS!K$3:K$1001,BIS!$C$3:$C$1001,$A16)</f>
        <v>0</v>
      </c>
      <c r="E16" s="117">
        <f>SUMIFS('BIS-V'!$J$3:$J$1000,'BIS-V'!$C$3:$C$1000,Members!$A16)</f>
        <v>0</v>
      </c>
      <c r="F16" s="71">
        <f>SUMIFS(BIS!M$3:M$1001,BIS!$C$3:$C$1001,$A16)</f>
        <v>0</v>
      </c>
      <c r="H16" s="30" t="s">
        <v>122</v>
      </c>
      <c r="I16" s="27">
        <f>SUMIFS(Reserves!$F$9:$F$1000,Reserves!$C$9:$C$1000,H16,Reserves!$E$9:$E$1000,"P")</f>
        <v>0</v>
      </c>
      <c r="J16" s="71">
        <f>SUMIFS(Reserves!$F$9:$F$1000,Reserves!$C$9:$C$1000,H16,Reserves!$E$9:$E$1000,"S")</f>
        <v>0</v>
      </c>
      <c r="K16" s="32"/>
      <c r="L16" s="30" t="s">
        <v>122</v>
      </c>
      <c r="M16" s="27">
        <f>Members!I16</f>
        <v>0</v>
      </c>
      <c r="N16" s="99">
        <f>Members!B16</f>
        <v>0</v>
      </c>
      <c r="P16" s="30" t="s">
        <v>122</v>
      </c>
      <c r="Q16" s="27">
        <f>Members!J16</f>
        <v>0</v>
      </c>
      <c r="R16" s="99">
        <f>Members!D16</f>
        <v>0</v>
      </c>
    </row>
    <row r="17" spans="1:18" x14ac:dyDescent="0.25">
      <c r="A17" s="30" t="s">
        <v>150</v>
      </c>
      <c r="B17" s="71">
        <f>SUMIFS(BIS!I$3:I$1001,BIS!$C$3:$C$1001,$A17)</f>
        <v>0</v>
      </c>
      <c r="C17" s="117">
        <f>SUMIFS('BIS-D'!$J$3:$J$1000,'BIS-D'!$C$3:$C$1000,Members!$A17)</f>
        <v>0</v>
      </c>
      <c r="D17" s="71">
        <f>SUMIFS(BIS!K$3:K$1001,BIS!$C$3:$C$1001,$A17)</f>
        <v>0</v>
      </c>
      <c r="E17" s="117">
        <f>SUMIFS('BIS-V'!$J$3:$J$1000,'BIS-V'!$C$3:$C$1000,Members!$A17)</f>
        <v>0</v>
      </c>
      <c r="F17" s="71">
        <f>SUMIFS(BIS!M$3:M$1001,BIS!$C$3:$C$1001,$A17)</f>
        <v>0</v>
      </c>
      <c r="H17" s="30" t="s">
        <v>150</v>
      </c>
      <c r="I17" s="27">
        <f>SUMIFS(Reserves!$F$9:$F$1000,Reserves!$C$9:$C$1000,H17,Reserves!$E$9:$E$1000,"P")</f>
        <v>0</v>
      </c>
      <c r="J17" s="71">
        <f>SUMIFS(Reserves!$F$9:$F$1000,Reserves!$C$9:$C$1000,H17,Reserves!$E$9:$E$1000,"S")</f>
        <v>0</v>
      </c>
      <c r="K17" s="32"/>
      <c r="L17" s="30" t="s">
        <v>150</v>
      </c>
      <c r="M17" s="27">
        <f>Members!I17</f>
        <v>0</v>
      </c>
      <c r="N17" s="99">
        <f>Members!B17</f>
        <v>0</v>
      </c>
      <c r="P17" s="30" t="s">
        <v>150</v>
      </c>
      <c r="Q17" s="27">
        <f>Members!J17</f>
        <v>0</v>
      </c>
      <c r="R17" s="99">
        <f>Members!D17</f>
        <v>0</v>
      </c>
    </row>
    <row r="18" spans="1:18" x14ac:dyDescent="0.25">
      <c r="A18" s="30" t="s">
        <v>155</v>
      </c>
      <c r="B18" s="71">
        <f>SUMIFS(BIS!I$3:I$1001,BIS!$C$3:$C$1001,$A18)</f>
        <v>0</v>
      </c>
      <c r="C18" s="117">
        <f>SUMIFS('BIS-D'!$J$3:$J$1000,'BIS-D'!$C$3:$C$1000,Members!$A18)</f>
        <v>0</v>
      </c>
      <c r="D18" s="71">
        <f>SUMIFS(BIS!K$3:K$1001,BIS!$C$3:$C$1001,$A18)</f>
        <v>0</v>
      </c>
      <c r="E18" s="117">
        <f>SUMIFS('BIS-V'!$J$3:$J$1000,'BIS-V'!$C$3:$C$1000,Members!$A18)</f>
        <v>0</v>
      </c>
      <c r="F18" s="71">
        <f>SUMIFS(BIS!M$3:M$1001,BIS!$C$3:$C$1001,$A18)</f>
        <v>0</v>
      </c>
      <c r="H18" s="30" t="s">
        <v>155</v>
      </c>
      <c r="I18" s="27">
        <f>SUMIFS(Reserves!$F$9:$F$1000,Reserves!$C$9:$C$1000,H18,Reserves!$E$9:$E$1000,"P")</f>
        <v>0</v>
      </c>
      <c r="J18" s="71">
        <f>SUMIFS(Reserves!$F$9:$F$1000,Reserves!$C$9:$C$1000,H18,Reserves!$E$9:$E$1000,"S")</f>
        <v>0</v>
      </c>
      <c r="K18" s="32"/>
      <c r="L18" s="30" t="s">
        <v>155</v>
      </c>
      <c r="M18" s="27">
        <f>Members!I18</f>
        <v>0</v>
      </c>
      <c r="N18" s="99">
        <f>Members!B18</f>
        <v>0</v>
      </c>
      <c r="P18" s="30" t="s">
        <v>155</v>
      </c>
      <c r="Q18" s="27">
        <f>Members!J18</f>
        <v>0</v>
      </c>
      <c r="R18" s="99">
        <f>Members!D18</f>
        <v>0</v>
      </c>
    </row>
    <row r="19" spans="1:18" x14ac:dyDescent="0.25">
      <c r="A19" s="31" t="s">
        <v>147</v>
      </c>
      <c r="B19" s="72">
        <f>SUMIFS(BIS!I$3:I$1001,BIS!$C$3:$C$1001,$A19)</f>
        <v>0</v>
      </c>
      <c r="C19" s="118">
        <f>SUMIFS('BIS-D'!$J$3:$J$1000,'BIS-D'!$C$3:$C$1000,Members!$A19)</f>
        <v>0</v>
      </c>
      <c r="D19" s="72">
        <f>SUMIFS(BIS!K$3:K$1001,BIS!$C$3:$C$1001,$A19)</f>
        <v>0</v>
      </c>
      <c r="E19" s="118">
        <f>SUMIFS('BIS-V'!$J$3:$J$1000,'BIS-V'!$C$3:$C$1000,Members!$A19)</f>
        <v>0</v>
      </c>
      <c r="F19" s="72">
        <f>SUMIFS(BIS!M$3:M$1001,BIS!$C$3:$C$1001,$A19)</f>
        <v>0</v>
      </c>
      <c r="H19" s="31" t="s">
        <v>147</v>
      </c>
      <c r="I19" s="28">
        <f>SUMIFS(Reserves!$F$9:$F$1000,Reserves!$C$9:$C$1000,H19,Reserves!$E$9:$E$1000,"P")</f>
        <v>0</v>
      </c>
      <c r="J19" s="72">
        <f>SUMIFS(Reserves!$F$9:$F$1000,Reserves!$C$9:$C$1000,H19,Reserves!$E$9:$E$1000,"S")</f>
        <v>0</v>
      </c>
      <c r="K19" s="32"/>
      <c r="L19" s="31" t="s">
        <v>147</v>
      </c>
      <c r="M19" s="28">
        <f>Members!I19</f>
        <v>0</v>
      </c>
      <c r="N19" s="103">
        <f>Members!B19</f>
        <v>0</v>
      </c>
      <c r="P19" s="31" t="s">
        <v>147</v>
      </c>
      <c r="Q19" s="28">
        <f>Members!J19</f>
        <v>0</v>
      </c>
      <c r="R19" s="103">
        <f>Members!D19</f>
        <v>0</v>
      </c>
    </row>
    <row r="20" spans="1:18" x14ac:dyDescent="0.25">
      <c r="A20" s="29" t="s">
        <v>110</v>
      </c>
      <c r="B20" s="70">
        <f>SUMIFS(BIS!I$3:I$1001,BIS!$C$3:$C$1001,$A20)</f>
        <v>83215.03</v>
      </c>
      <c r="C20" s="116">
        <f>SUMIFS('BIS-D'!$J$3:$J$1000,'BIS-D'!$C$3:$C$1000,Members!$A20)</f>
        <v>0</v>
      </c>
      <c r="D20" s="70">
        <f>SUMIFS(BIS!K$3:K$1001,BIS!$C$3:$C$1001,$A20)</f>
        <v>83215.03</v>
      </c>
      <c r="E20" s="116">
        <f>SUMIFS('BIS-V'!$J$3:$J$1000,'BIS-V'!$C$3:$C$1000,Members!$A20)</f>
        <v>0</v>
      </c>
      <c r="F20" s="70">
        <f>SUMIFS(BIS!M$3:M$1001,BIS!$C$3:$C$1001,$A20)</f>
        <v>0</v>
      </c>
      <c r="H20" s="29" t="s">
        <v>110</v>
      </c>
      <c r="I20" s="26">
        <f>SUMIFS(Reserves!$F$9:$F$1000,Reserves!$C$9:$C$1000,H20,Reserves!$E$9:$E$1000,"P")</f>
        <v>83379</v>
      </c>
      <c r="J20" s="70">
        <f>SUMIFS(Reserves!$F$9:$F$1000,Reserves!$C$9:$C$1000,H20,Reserves!$E$9:$E$1000,"S")</f>
        <v>83379</v>
      </c>
      <c r="K20" s="32"/>
      <c r="L20" s="29" t="s">
        <v>110</v>
      </c>
      <c r="M20" s="26">
        <f>Members!I20</f>
        <v>83379</v>
      </c>
      <c r="N20" s="102">
        <f>Members!B20</f>
        <v>83215.03</v>
      </c>
      <c r="P20" s="29" t="s">
        <v>110</v>
      </c>
      <c r="Q20" s="26">
        <f>Members!J20</f>
        <v>83379</v>
      </c>
      <c r="R20" s="102">
        <f>Members!D20</f>
        <v>83215.03</v>
      </c>
    </row>
    <row r="21" spans="1:18" x14ac:dyDescent="0.25">
      <c r="A21" s="30" t="s">
        <v>103</v>
      </c>
      <c r="B21" s="71">
        <f>SUMIFS(BIS!I$3:I$1001,BIS!$C$3:$C$1001,$A21)</f>
        <v>1856</v>
      </c>
      <c r="C21" s="117">
        <f>SUMIFS('BIS-D'!$J$3:$J$1000,'BIS-D'!$C$3:$C$1000,Members!$A21)</f>
        <v>0</v>
      </c>
      <c r="D21" s="71">
        <f>SUMIFS(BIS!K$3:K$1001,BIS!$C$3:$C$1001,$A21)</f>
        <v>1856</v>
      </c>
      <c r="E21" s="117">
        <f>SUMIFS('BIS-V'!$J$3:$J$1000,'BIS-V'!$C$3:$C$1000,Members!$A21)</f>
        <v>0</v>
      </c>
      <c r="F21" s="71">
        <f>SUMIFS(BIS!M$3:M$1001,BIS!$C$3:$C$1001,$A21)</f>
        <v>0</v>
      </c>
      <c r="H21" s="30" t="s">
        <v>103</v>
      </c>
      <c r="I21" s="27">
        <f>SUMIFS(Reserves!$F$9:$F$1000,Reserves!$C$9:$C$1000,H21,Reserves!$E$9:$E$1000,"P")</f>
        <v>1852</v>
      </c>
      <c r="J21" s="71">
        <f>SUMIFS(Reserves!$F$9:$F$1000,Reserves!$C$9:$C$1000,H21,Reserves!$E$9:$E$1000,"S")</f>
        <v>1852</v>
      </c>
      <c r="K21" s="32"/>
      <c r="L21" s="30" t="s">
        <v>103</v>
      </c>
      <c r="M21" s="27">
        <f>Members!I21</f>
        <v>1852</v>
      </c>
      <c r="N21" s="99">
        <f>Members!B21</f>
        <v>1856</v>
      </c>
      <c r="P21" s="30" t="s">
        <v>103</v>
      </c>
      <c r="Q21" s="27">
        <f>Members!J21</f>
        <v>1852</v>
      </c>
      <c r="R21" s="99">
        <f>Members!D21</f>
        <v>1856</v>
      </c>
    </row>
    <row r="22" spans="1:18" x14ac:dyDescent="0.25">
      <c r="A22" s="31" t="s">
        <v>186</v>
      </c>
      <c r="B22" s="72">
        <f>SUMIFS(BIS!I$3:I$1001,BIS!$C$3:$C$1001,$A22)</f>
        <v>173657.40000000002</v>
      </c>
      <c r="C22" s="118">
        <f>SUMIFS('BIS-D'!$J$3:$J$1000,'BIS-D'!$C$3:$C$1000,Members!$A22)</f>
        <v>0</v>
      </c>
      <c r="D22" s="72">
        <f>SUMIFS(BIS!K$3:K$1001,BIS!$C$3:$C$1001,$A22)</f>
        <v>48896.709999999992</v>
      </c>
      <c r="E22" s="118">
        <f>SUMIFS('BIS-V'!$J$3:$J$1000,'BIS-V'!$C$3:$C$1000,Members!$A22)</f>
        <v>0</v>
      </c>
      <c r="F22" s="72">
        <f>SUMIFS(BIS!M$3:M$1001,BIS!$C$3:$C$1001,$A22)</f>
        <v>0</v>
      </c>
      <c r="H22" s="31" t="s">
        <v>186</v>
      </c>
      <c r="I22" s="28">
        <f>SUMIFS(Reserves!$F$9:$F$1000,Reserves!$C$9:$C$1000,H22,Reserves!$E$9:$E$1000,"P")</f>
        <v>173735</v>
      </c>
      <c r="J22" s="72">
        <f>SUMIFS(Reserves!$F$9:$F$1000,Reserves!$C$9:$C$1000,H22,Reserves!$E$9:$E$1000,"S")</f>
        <v>49668</v>
      </c>
      <c r="K22" s="32"/>
      <c r="L22" s="31" t="s">
        <v>186</v>
      </c>
      <c r="M22" s="28">
        <f>Members!I22</f>
        <v>173735</v>
      </c>
      <c r="N22" s="103">
        <f>Members!B22</f>
        <v>173657.40000000002</v>
      </c>
      <c r="P22" s="31" t="s">
        <v>186</v>
      </c>
      <c r="Q22" s="28">
        <f>Members!J22</f>
        <v>49668</v>
      </c>
      <c r="R22" s="103">
        <f>Members!D22</f>
        <v>48896.709999999992</v>
      </c>
    </row>
    <row r="23" spans="1:18" x14ac:dyDescent="0.25">
      <c r="A23" s="29" t="s">
        <v>59</v>
      </c>
      <c r="B23" s="70">
        <f>SUMIFS(BIS!I$3:I$1001,BIS!$C$3:$C$1001,$A23)</f>
        <v>165531.14999999982</v>
      </c>
      <c r="C23" s="116">
        <f>SUMIFS('BIS-D'!$J$3:$J$1000,'BIS-D'!$C$3:$C$1000,Members!$A23)</f>
        <v>0</v>
      </c>
      <c r="D23" s="70">
        <f>SUMIFS(BIS!K$3:K$1001,BIS!$C$3:$C$1001,$A23)</f>
        <v>153849.92999999979</v>
      </c>
      <c r="E23" s="116">
        <f>SUMIFS('BIS-V'!$J$3:$J$1000,'BIS-V'!$C$3:$C$1000,Members!$A23)</f>
        <v>0</v>
      </c>
      <c r="F23" s="70">
        <f>SUMIFS(BIS!M$3:M$1001,BIS!$C$3:$C$1001,$A23)</f>
        <v>2</v>
      </c>
      <c r="H23" s="29" t="s">
        <v>59</v>
      </c>
      <c r="I23" s="26">
        <f>SUMIFS(Reserves!$F$9:$F$1000,Reserves!$C$9:$C$1000,H23,Reserves!$E$9:$E$1000,"P")</f>
        <v>165210</v>
      </c>
      <c r="J23" s="70">
        <f>SUMIFS(Reserves!$F$9:$F$1000,Reserves!$C$9:$C$1000,H23,Reserves!$E$9:$E$1000,"S")</f>
        <v>162014</v>
      </c>
      <c r="K23" s="32"/>
      <c r="L23" s="29" t="s">
        <v>59</v>
      </c>
      <c r="M23" s="26">
        <f>Members!I23</f>
        <v>165210</v>
      </c>
      <c r="N23" s="102">
        <f>Members!B23</f>
        <v>165531.14999999982</v>
      </c>
      <c r="P23" s="29" t="s">
        <v>59</v>
      </c>
      <c r="Q23" s="26">
        <f>Members!J23</f>
        <v>162014</v>
      </c>
      <c r="R23" s="102">
        <f>Members!D23</f>
        <v>153849.92999999979</v>
      </c>
    </row>
    <row r="24" spans="1:18" x14ac:dyDescent="0.25">
      <c r="A24" s="30" t="s">
        <v>78</v>
      </c>
      <c r="B24" s="71">
        <f>SUMIFS(BIS!I$3:I$1001,BIS!$C$3:$C$1001,$A24)</f>
        <v>18809.800000000007</v>
      </c>
      <c r="C24" s="117">
        <f>SUMIFS('BIS-D'!$J$3:$J$1000,'BIS-D'!$C$3:$C$1000,Members!$A24)</f>
        <v>0</v>
      </c>
      <c r="D24" s="71">
        <f>SUMIFS(BIS!K$3:K$1001,BIS!$C$3:$C$1001,$A24)</f>
        <v>18809.800000000007</v>
      </c>
      <c r="E24" s="117">
        <f>SUMIFS('BIS-V'!$J$3:$J$1000,'BIS-V'!$C$3:$C$1000,Members!$A24)</f>
        <v>0</v>
      </c>
      <c r="F24" s="71">
        <f>SUMIFS(BIS!M$3:M$1001,BIS!$C$3:$C$1001,$A24)</f>
        <v>0</v>
      </c>
      <c r="H24" s="30" t="s">
        <v>78</v>
      </c>
      <c r="I24" s="27">
        <f>SUMIFS(Reserves!$F$9:$F$1000,Reserves!$C$9:$C$1000,H24,Reserves!$E$9:$E$1000,"P")</f>
        <v>18904</v>
      </c>
      <c r="J24" s="71">
        <f>SUMIFS(Reserves!$F$9:$F$1000,Reserves!$C$9:$C$1000,H24,Reserves!$E$9:$E$1000,"S")</f>
        <v>18904</v>
      </c>
      <c r="K24" s="32"/>
      <c r="L24" s="30" t="s">
        <v>78</v>
      </c>
      <c r="M24" s="27">
        <f>Members!I24</f>
        <v>18904</v>
      </c>
      <c r="N24" s="99">
        <f>Members!B24</f>
        <v>18809.800000000007</v>
      </c>
      <c r="P24" s="30" t="s">
        <v>78</v>
      </c>
      <c r="Q24" s="27">
        <f>Members!J24</f>
        <v>18904</v>
      </c>
      <c r="R24" s="99">
        <f>Members!D24</f>
        <v>18809.800000000007</v>
      </c>
    </row>
    <row r="25" spans="1:18" x14ac:dyDescent="0.25">
      <c r="A25" s="30" t="s">
        <v>158</v>
      </c>
      <c r="B25" s="71">
        <f>SUMIFS(BIS!I$3:I$1001,BIS!$C$3:$C$1001,$A25)</f>
        <v>264864.85999999684</v>
      </c>
      <c r="C25" s="117">
        <f>SUMIFS('BIS-D'!$J$3:$J$1000,'BIS-D'!$C$3:$C$1000,Members!$A25)</f>
        <v>834632</v>
      </c>
      <c r="D25" s="71">
        <f>SUMIFS(BIS!K$3:K$1001,BIS!$C$3:$C$1001,$A25)</f>
        <v>0</v>
      </c>
      <c r="E25" s="117">
        <f>SUMIFS('BIS-V'!$J$3:$J$1000,'BIS-V'!$C$3:$C$1000,Members!$A25)</f>
        <v>0</v>
      </c>
      <c r="F25" s="71">
        <f>SUMIFS(BIS!M$3:M$1001,BIS!$C$3:$C$1001,$A25)</f>
        <v>0</v>
      </c>
      <c r="H25" s="30" t="s">
        <v>158</v>
      </c>
      <c r="I25" s="27">
        <f>SUMIFS(Reserves!$F$9:$F$1000,Reserves!$C$9:$C$1000,H25,Reserves!$E$9:$E$1000,"P")</f>
        <v>262489</v>
      </c>
      <c r="J25" s="71">
        <f>SUMIFS(Reserves!$F$9:$F$1000,Reserves!$C$9:$C$1000,H25,Reserves!$E$9:$E$1000,"S")</f>
        <v>0</v>
      </c>
      <c r="K25" s="32"/>
      <c r="L25" s="30" t="s">
        <v>158</v>
      </c>
      <c r="M25" s="27">
        <f>Members!I25</f>
        <v>262489</v>
      </c>
      <c r="N25" s="99">
        <f>Members!B25</f>
        <v>264864.85999999684</v>
      </c>
      <c r="P25" s="30" t="s">
        <v>158</v>
      </c>
      <c r="Q25" s="27">
        <f>Members!J25</f>
        <v>0</v>
      </c>
      <c r="R25" s="99">
        <f>Members!D25</f>
        <v>0</v>
      </c>
    </row>
    <row r="26" spans="1:18" x14ac:dyDescent="0.25">
      <c r="A26" s="30" t="s">
        <v>12</v>
      </c>
      <c r="B26" s="71">
        <f>SUMIFS(BIS!I$3:I$1001,BIS!$C$3:$C$1001,$A26)</f>
        <v>0</v>
      </c>
      <c r="C26" s="117">
        <f>SUMIFS('BIS-D'!$J$3:$J$1000,'BIS-D'!$C$3:$C$1000,Members!$A26)</f>
        <v>490654</v>
      </c>
      <c r="D26" s="71">
        <f>SUMIFS(BIS!K$3:K$1001,BIS!$C$3:$C$1001,$A26)</f>
        <v>0</v>
      </c>
      <c r="E26" s="117">
        <f>SUMIFS('BIS-V'!$J$3:$J$1000,'BIS-V'!$C$3:$C$1000,Members!$A26)</f>
        <v>251603</v>
      </c>
      <c r="F26" s="71">
        <f>SUMIFS(BIS!M$3:M$1001,BIS!$C$3:$C$1001,$A26)</f>
        <v>2580.2000000000003</v>
      </c>
      <c r="H26" s="30" t="s">
        <v>863</v>
      </c>
      <c r="I26" s="99">
        <f>SUMIFS(Reserves!$F$9:$F$1000,Reserves!$C$9:$C$1000,"AGDMHC",Reserves!$E$9:$E$1000,"D")</f>
        <v>474134</v>
      </c>
      <c r="J26" s="100">
        <f>SUMIFS(Reserves!$F$9:$F$1000,Reserves!$C$9:$C$1000,"AGDMHC",Reserves!$E$9:$E$1000,"S")</f>
        <v>0</v>
      </c>
      <c r="K26" s="32"/>
      <c r="L26" s="88" t="s">
        <v>863</v>
      </c>
      <c r="M26" s="69">
        <f>Members!I26</f>
        <v>474134</v>
      </c>
      <c r="N26" s="106">
        <f>Members!C26</f>
        <v>490654</v>
      </c>
      <c r="O26" s="81"/>
      <c r="P26" s="39" t="s">
        <v>12</v>
      </c>
      <c r="Q26" s="105">
        <f>Members!J26</f>
        <v>0</v>
      </c>
      <c r="R26" s="99">
        <f>Members!D26</f>
        <v>0</v>
      </c>
    </row>
    <row r="27" spans="1:18" s="98" customFormat="1" x14ac:dyDescent="0.25">
      <c r="A27" s="30"/>
      <c r="B27" s="71"/>
      <c r="C27" s="117"/>
      <c r="D27" s="71"/>
      <c r="E27" s="117"/>
      <c r="F27" s="71"/>
      <c r="H27" s="30" t="s">
        <v>865</v>
      </c>
      <c r="I27" s="99">
        <f>SUMIFS(Reserves!$F$9:$F$1000,Reserves!$C$9:$C$1000,"AGDMHC",Reserves!$E$9:$E$1000,"V")</f>
        <v>64496</v>
      </c>
      <c r="J27" s="100"/>
      <c r="K27" s="32"/>
      <c r="L27" s="88" t="s">
        <v>865</v>
      </c>
      <c r="M27" s="69">
        <f>Members!I27</f>
        <v>64496</v>
      </c>
      <c r="N27" s="106">
        <f>Members!E26</f>
        <v>251603</v>
      </c>
      <c r="P27" s="39"/>
      <c r="Q27" s="105"/>
      <c r="R27" s="99"/>
    </row>
    <row r="28" spans="1:18" x14ac:dyDescent="0.25">
      <c r="A28" s="30" t="s">
        <v>143</v>
      </c>
      <c r="B28" s="71">
        <f>SUMIFS(BIS!I$3:I$1001,BIS!$C$3:$C$1001,$A28)</f>
        <v>301.04999999999995</v>
      </c>
      <c r="C28" s="117">
        <f>SUMIFS('BIS-D'!$J$3:$J$1000,'BIS-D'!$C$3:$C$1000,Members!$A28)</f>
        <v>0</v>
      </c>
      <c r="D28" s="71">
        <f>SUMIFS(BIS!K$3:K$1001,BIS!$C$3:$C$1001,$A28)</f>
        <v>0</v>
      </c>
      <c r="E28" s="117">
        <f>SUMIFS('BIS-V'!$J$3:$J$1000,'BIS-V'!$C$3:$C$1000,Members!$A28)</f>
        <v>0</v>
      </c>
      <c r="F28" s="71">
        <f>SUMIFS(BIS!M$3:M$1001,BIS!$C$3:$C$1001,$A28)</f>
        <v>0</v>
      </c>
      <c r="H28" s="30" t="s">
        <v>143</v>
      </c>
      <c r="I28" s="27">
        <f>SUMIFS(Reserves!$F$9:$F$1000,Reserves!$C$9:$C$1000,H28,Reserves!$E$9:$E$1000,"P")</f>
        <v>257</v>
      </c>
      <c r="J28" s="71">
        <f>SUMIFS(Reserves!$F$9:$F$1000,Reserves!$C$9:$C$1000,H28,Reserves!$E$9:$E$1000,"S")</f>
        <v>0</v>
      </c>
      <c r="K28" s="32"/>
      <c r="L28" s="30" t="s">
        <v>143</v>
      </c>
      <c r="M28" s="27">
        <f>Members!I28</f>
        <v>257</v>
      </c>
      <c r="N28" s="99">
        <f>Members!B28</f>
        <v>301.04999999999995</v>
      </c>
      <c r="P28" s="30" t="s">
        <v>143</v>
      </c>
      <c r="Q28" s="27">
        <f>Members!J28</f>
        <v>0</v>
      </c>
      <c r="R28" s="99">
        <f>Members!D28</f>
        <v>0</v>
      </c>
    </row>
    <row r="29" spans="1:18" x14ac:dyDescent="0.25">
      <c r="A29" s="31" t="s">
        <v>54</v>
      </c>
      <c r="B29" s="72">
        <f>SUMIFS(BIS!I$3:I$1001,BIS!$C$3:$C$1001,$A29)</f>
        <v>0</v>
      </c>
      <c r="C29" s="118">
        <f>SUMIFS('BIS-D'!$J$3:$J$1000,'BIS-D'!$C$3:$C$1000,Members!$A29)</f>
        <v>0</v>
      </c>
      <c r="D29" s="72">
        <f>SUMIFS(BIS!K$3:K$1001,BIS!$C$3:$C$1001,$A29)</f>
        <v>0</v>
      </c>
      <c r="E29" s="118">
        <f>SUMIFS('BIS-V'!$J$3:$J$1000,'BIS-V'!$C$3:$C$1000,Members!$A29)</f>
        <v>0</v>
      </c>
      <c r="F29" s="72">
        <f>SUMIFS(BIS!M$3:M$1001,BIS!$C$3:$C$1001,$A29)</f>
        <v>0</v>
      </c>
      <c r="H29" s="31" t="s">
        <v>54</v>
      </c>
      <c r="I29" s="28">
        <f>SUMIFS(Reserves!$F$9:$F$1000,Reserves!$C$9:$C$1000,H29,Reserves!$E$9:$E$1000,"P")</f>
        <v>0</v>
      </c>
      <c r="J29" s="72">
        <f>SUMIFS(Reserves!$F$9:$F$1000,Reserves!$C$9:$C$1000,H29,Reserves!$E$9:$E$1000,"S")</f>
        <v>0</v>
      </c>
      <c r="K29" s="32"/>
      <c r="L29" s="31" t="s">
        <v>54</v>
      </c>
      <c r="M29" s="28">
        <f>Members!I29</f>
        <v>0</v>
      </c>
      <c r="N29" s="103">
        <f>Members!B29</f>
        <v>0</v>
      </c>
      <c r="P29" s="31" t="s">
        <v>54</v>
      </c>
      <c r="Q29" s="28">
        <f>Members!J29</f>
        <v>0</v>
      </c>
      <c r="R29" s="103">
        <f>Members!D29</f>
        <v>0</v>
      </c>
    </row>
    <row r="30" spans="1:18" x14ac:dyDescent="0.25">
      <c r="A30" s="31" t="s">
        <v>288</v>
      </c>
      <c r="B30" s="72">
        <f>SUMIFS(BIS!I$3:I$1001,BIS!$C$3:$C$1001,$A30)</f>
        <v>599401.7200000009</v>
      </c>
      <c r="C30" s="118">
        <f>SUMIFS('BIS-D'!$J$3:$J$1000,'BIS-D'!$C$3:$C$1000,Members!$A30)</f>
        <v>45594</v>
      </c>
      <c r="D30" s="72">
        <f>SUMIFS(BIS!K$3:K$1001,BIS!$C$3:$C$1001,$A30)</f>
        <v>114869.08999999997</v>
      </c>
      <c r="E30" s="118">
        <f>SUMIFS('BIS-V'!$J$3:$J$1000,'BIS-V'!$C$3:$C$1000,Members!$A30)</f>
        <v>157610</v>
      </c>
      <c r="F30" s="72">
        <f>SUMIFS(BIS!M$3:M$1001,BIS!$C$3:$C$1001,$A30)</f>
        <v>9021.17</v>
      </c>
      <c r="H30" s="31" t="s">
        <v>288</v>
      </c>
      <c r="I30" s="28">
        <f>SUMIFS(Reserves!$F$9:$F$1000,Reserves!$C$9:$C$1000,H30,Reserves!$E$9:$E$1000,"P")</f>
        <v>0</v>
      </c>
      <c r="J30" s="72">
        <f>SUMIFS(Reserves!$F$9:$F$1000,Reserves!$C$9:$C$1000,H30,Reserves!$E$9:$E$1000,"S")</f>
        <v>0</v>
      </c>
      <c r="K30" s="32"/>
      <c r="L30" s="31" t="s">
        <v>288</v>
      </c>
      <c r="M30" s="28">
        <f>Members!I30</f>
        <v>0</v>
      </c>
      <c r="N30" s="103">
        <f>Members!B30</f>
        <v>599401.7200000009</v>
      </c>
      <c r="P30" s="31" t="s">
        <v>288</v>
      </c>
      <c r="Q30" s="28">
        <f>Members!J30</f>
        <v>0</v>
      </c>
      <c r="R30" s="103">
        <f>Members!D30</f>
        <v>114869.08999999997</v>
      </c>
    </row>
    <row r="31" spans="1:18" s="54" customFormat="1" x14ac:dyDescent="0.25">
      <c r="A31" s="21"/>
      <c r="B31" s="80"/>
      <c r="C31" s="80"/>
      <c r="D31" s="80"/>
      <c r="E31" s="80"/>
      <c r="F31" s="80"/>
      <c r="H31"/>
    </row>
    <row r="32" spans="1:18" x14ac:dyDescent="0.25">
      <c r="B32" s="32">
        <f t="shared" ref="B32" si="0">SUM(B4:B30)</f>
        <v>3427101.3200000087</v>
      </c>
      <c r="C32" s="32"/>
    </row>
    <row r="34" spans="1:3" x14ac:dyDescent="0.25">
      <c r="A34" s="54" t="s">
        <v>299</v>
      </c>
      <c r="B34" s="32">
        <f>SUM(B4:B30)</f>
        <v>3427101.3200000087</v>
      </c>
      <c r="C34" s="32"/>
    </row>
    <row r="35" spans="1:3" x14ac:dyDescent="0.25">
      <c r="A35" s="54" t="s">
        <v>300</v>
      </c>
      <c r="B35" s="35">
        <f>SUM(BIS!I3:I1001)</f>
        <v>3427101.3200000077</v>
      </c>
      <c r="C35" s="35"/>
    </row>
    <row r="36" spans="1:3" x14ac:dyDescent="0.25">
      <c r="A36" s="54" t="s">
        <v>301</v>
      </c>
      <c r="B36" s="34" t="b">
        <f>ROUND(B35,2)-ROUND(B34,2)=0</f>
        <v>1</v>
      </c>
    </row>
  </sheetData>
  <conditionalFormatting sqref="B36">
    <cfRule type="cellIs" dxfId="3" priority="6" stopIfTrue="1" operator="equal">
      <formula>FALSE</formula>
    </cfRule>
  </conditionalFormatting>
  <conditionalFormatting sqref="B36">
    <cfRule type="cellIs" dxfId="2" priority="5" stopIfTrue="1" operator="equal">
      <formula>TRUE</formula>
    </cfRule>
  </conditionalFormatting>
  <conditionalFormatting sqref="H2">
    <cfRule type="cellIs" dxfId="1" priority="2" stopIfTrue="1" operator="equal">
      <formula>FALSE</formula>
    </cfRule>
  </conditionalFormatting>
  <conditionalFormatting sqref="H2">
    <cfRule type="cellIs" dxfId="0" priority="1" stopIfTrue="1" operator="equal">
      <formula>TRUE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58"/>
  <sheetViews>
    <sheetView workbookViewId="0"/>
  </sheetViews>
  <sheetFormatPr defaultRowHeight="15" x14ac:dyDescent="0.25"/>
  <cols>
    <col min="1" max="1" width="14.85546875" bestFit="1" customWidth="1"/>
    <col min="2" max="2" width="12.5703125" bestFit="1" customWidth="1"/>
    <col min="3" max="3" width="12" bestFit="1" customWidth="1"/>
    <col min="4" max="4" width="11.28515625" bestFit="1" customWidth="1"/>
    <col min="6" max="6" width="10.42578125" bestFit="1" customWidth="1"/>
    <col min="8" max="8" width="125.85546875" customWidth="1"/>
  </cols>
  <sheetData>
    <row r="2" spans="1:8" x14ac:dyDescent="0.25">
      <c r="A2" s="101">
        <v>43144.896562499998</v>
      </c>
      <c r="H2" s="47" t="s">
        <v>340</v>
      </c>
    </row>
    <row r="3" spans="1:8" x14ac:dyDescent="0.25">
      <c r="A3" s="53" t="s">
        <v>367</v>
      </c>
      <c r="B3" s="53" t="s">
        <v>368</v>
      </c>
      <c r="C3" s="53" t="s">
        <v>369</v>
      </c>
      <c r="D3" s="53" t="s">
        <v>372</v>
      </c>
      <c r="H3" s="48" t="s">
        <v>341</v>
      </c>
    </row>
    <row r="4" spans="1:8" x14ac:dyDescent="0.25">
      <c r="A4" s="109" t="s">
        <v>375</v>
      </c>
      <c r="B4" s="109" t="s">
        <v>380</v>
      </c>
      <c r="C4" s="109" t="s">
        <v>376</v>
      </c>
      <c r="D4" s="124">
        <v>956</v>
      </c>
      <c r="H4" s="48" t="s">
        <v>342</v>
      </c>
    </row>
    <row r="5" spans="1:8" x14ac:dyDescent="0.25">
      <c r="A5" s="109" t="s">
        <v>375</v>
      </c>
      <c r="B5" s="109" t="s">
        <v>381</v>
      </c>
      <c r="C5" s="109" t="s">
        <v>376</v>
      </c>
      <c r="D5" s="124">
        <v>5226.0499999999965</v>
      </c>
      <c r="H5" s="48" t="s">
        <v>343</v>
      </c>
    </row>
    <row r="6" spans="1:8" x14ac:dyDescent="0.25">
      <c r="A6" s="109" t="s">
        <v>375</v>
      </c>
      <c r="B6" s="109" t="s">
        <v>392</v>
      </c>
      <c r="C6" s="109" t="s">
        <v>376</v>
      </c>
      <c r="D6" s="124">
        <v>6857.4000000000015</v>
      </c>
      <c r="H6" s="48" t="s">
        <v>344</v>
      </c>
    </row>
    <row r="7" spans="1:8" x14ac:dyDescent="0.25">
      <c r="A7" s="109" t="s">
        <v>375</v>
      </c>
      <c r="B7" s="109" t="s">
        <v>393</v>
      </c>
      <c r="C7" s="109" t="s">
        <v>376</v>
      </c>
      <c r="D7" s="124">
        <v>18273.199999999997</v>
      </c>
      <c r="H7" s="50" t="s">
        <v>345</v>
      </c>
    </row>
    <row r="8" spans="1:8" x14ac:dyDescent="0.25">
      <c r="A8" s="109" t="s">
        <v>375</v>
      </c>
      <c r="B8" s="109" t="s">
        <v>393</v>
      </c>
      <c r="C8" s="109" t="s">
        <v>383</v>
      </c>
      <c r="D8" s="124">
        <v>0</v>
      </c>
      <c r="H8" s="50" t="s">
        <v>346</v>
      </c>
    </row>
    <row r="9" spans="1:8" x14ac:dyDescent="0.25">
      <c r="A9" s="109" t="s">
        <v>375</v>
      </c>
      <c r="B9" s="109" t="s">
        <v>393</v>
      </c>
      <c r="C9" s="109" t="s">
        <v>384</v>
      </c>
      <c r="D9" s="124">
        <v>22</v>
      </c>
      <c r="H9" s="50" t="s">
        <v>4</v>
      </c>
    </row>
    <row r="10" spans="1:8" x14ac:dyDescent="0.25">
      <c r="A10" s="109" t="s">
        <v>387</v>
      </c>
      <c r="B10" s="109" t="s">
        <v>380</v>
      </c>
      <c r="C10" s="109" t="s">
        <v>376</v>
      </c>
      <c r="D10" s="124">
        <v>50920.029999999992</v>
      </c>
      <c r="H10" s="50" t="s">
        <v>364</v>
      </c>
    </row>
    <row r="11" spans="1:8" x14ac:dyDescent="0.25">
      <c r="A11" s="109" t="s">
        <v>387</v>
      </c>
      <c r="B11" s="109" t="s">
        <v>381</v>
      </c>
      <c r="C11" s="109" t="s">
        <v>376</v>
      </c>
      <c r="D11" s="124">
        <v>7279.8500000000013</v>
      </c>
      <c r="H11" s="50" t="s">
        <v>365</v>
      </c>
    </row>
    <row r="12" spans="1:8" x14ac:dyDescent="0.25">
      <c r="A12" s="125" t="s">
        <v>387</v>
      </c>
      <c r="B12" s="125" t="s">
        <v>392</v>
      </c>
      <c r="C12" s="125" t="s">
        <v>376</v>
      </c>
      <c r="D12" s="126">
        <v>67770.679999999775</v>
      </c>
      <c r="H12" s="50" t="s">
        <v>366</v>
      </c>
    </row>
    <row r="13" spans="1:8" x14ac:dyDescent="0.25">
      <c r="A13" s="109" t="s">
        <v>387</v>
      </c>
      <c r="B13" s="109" t="s">
        <v>393</v>
      </c>
      <c r="C13" s="109" t="s">
        <v>376</v>
      </c>
      <c r="D13" s="124">
        <v>10769.59</v>
      </c>
      <c r="H13" s="50" t="s">
        <v>903</v>
      </c>
    </row>
    <row r="14" spans="1:8" x14ac:dyDescent="0.25">
      <c r="A14" s="109" t="s">
        <v>376</v>
      </c>
      <c r="B14" s="109" t="s">
        <v>380</v>
      </c>
      <c r="C14" s="109" t="s">
        <v>376</v>
      </c>
      <c r="D14" s="124">
        <v>22803.480000000003</v>
      </c>
      <c r="H14" s="50" t="s">
        <v>359</v>
      </c>
    </row>
    <row r="15" spans="1:8" x14ac:dyDescent="0.25">
      <c r="A15" s="109" t="s">
        <v>376</v>
      </c>
      <c r="B15" s="109" t="s">
        <v>381</v>
      </c>
      <c r="C15" s="109" t="s">
        <v>376</v>
      </c>
      <c r="D15" s="124">
        <v>21590.319999999996</v>
      </c>
      <c r="H15" s="50" t="s">
        <v>906</v>
      </c>
    </row>
    <row r="16" spans="1:8" x14ac:dyDescent="0.25">
      <c r="A16" s="109" t="s">
        <v>376</v>
      </c>
      <c r="B16" s="109" t="s">
        <v>392</v>
      </c>
      <c r="C16" s="109" t="s">
        <v>376</v>
      </c>
      <c r="D16" s="124">
        <v>1981.2099999999998</v>
      </c>
      <c r="H16" s="50" t="s">
        <v>360</v>
      </c>
    </row>
    <row r="17" spans="1:8" x14ac:dyDescent="0.25">
      <c r="A17" s="109" t="s">
        <v>376</v>
      </c>
      <c r="B17" s="109" t="s">
        <v>393</v>
      </c>
      <c r="C17" s="109" t="s">
        <v>376</v>
      </c>
      <c r="D17" s="124">
        <v>0</v>
      </c>
      <c r="H17" s="50" t="s">
        <v>361</v>
      </c>
    </row>
    <row r="18" spans="1:8" x14ac:dyDescent="0.25">
      <c r="A18" s="101">
        <v>43151.381678472222</v>
      </c>
      <c r="H18" s="50" t="s">
        <v>347</v>
      </c>
    </row>
    <row r="19" spans="1:8" x14ac:dyDescent="0.25">
      <c r="A19" t="s">
        <v>367</v>
      </c>
      <c r="B19" t="s">
        <v>368</v>
      </c>
      <c r="C19" t="s">
        <v>369</v>
      </c>
      <c r="D19" t="s">
        <v>372</v>
      </c>
      <c r="F19" t="s">
        <v>955</v>
      </c>
      <c r="H19" s="50" t="s">
        <v>362</v>
      </c>
    </row>
    <row r="20" spans="1:8" x14ac:dyDescent="0.25">
      <c r="A20" t="s">
        <v>375</v>
      </c>
      <c r="B20" t="s">
        <v>380</v>
      </c>
      <c r="C20" t="s">
        <v>376</v>
      </c>
      <c r="D20" s="123">
        <v>773</v>
      </c>
      <c r="F20" s="32">
        <f t="shared" ref="F20:F33" si="0">D20-D4</f>
        <v>-183</v>
      </c>
      <c r="H20" s="50" t="s">
        <v>363</v>
      </c>
    </row>
    <row r="21" spans="1:8" x14ac:dyDescent="0.25">
      <c r="A21" t="s">
        <v>375</v>
      </c>
      <c r="B21" t="s">
        <v>381</v>
      </c>
      <c r="C21" t="s">
        <v>376</v>
      </c>
      <c r="D21" s="123">
        <v>3327.4900000000007</v>
      </c>
      <c r="F21" s="32">
        <f t="shared" si="0"/>
        <v>-1898.5599999999959</v>
      </c>
      <c r="H21" s="50" t="s">
        <v>358</v>
      </c>
    </row>
    <row r="22" spans="1:8" x14ac:dyDescent="0.25">
      <c r="A22" t="s">
        <v>375</v>
      </c>
      <c r="B22" t="s">
        <v>392</v>
      </c>
      <c r="C22" t="s">
        <v>376</v>
      </c>
      <c r="D22" s="123">
        <v>5590.0599999999995</v>
      </c>
      <c r="F22" s="32">
        <f t="shared" si="0"/>
        <v>-1267.340000000002</v>
      </c>
      <c r="H22" s="50" t="s">
        <v>348</v>
      </c>
    </row>
    <row r="23" spans="1:8" x14ac:dyDescent="0.25">
      <c r="A23" t="s">
        <v>375</v>
      </c>
      <c r="B23" t="s">
        <v>393</v>
      </c>
      <c r="C23" t="s">
        <v>376</v>
      </c>
      <c r="D23" s="123">
        <v>15323.059999999998</v>
      </c>
      <c r="F23" s="32">
        <f t="shared" si="0"/>
        <v>-2950.1399999999994</v>
      </c>
      <c r="H23" s="50" t="s">
        <v>349</v>
      </c>
    </row>
    <row r="24" spans="1:8" x14ac:dyDescent="0.25">
      <c r="A24" t="s">
        <v>375</v>
      </c>
      <c r="B24" t="s">
        <v>393</v>
      </c>
      <c r="C24" t="s">
        <v>383</v>
      </c>
      <c r="D24" s="123">
        <v>0</v>
      </c>
      <c r="F24" s="32">
        <f t="shared" si="0"/>
        <v>0</v>
      </c>
      <c r="H24" s="104" t="s">
        <v>907</v>
      </c>
    </row>
    <row r="25" spans="1:8" x14ac:dyDescent="0.25">
      <c r="A25" t="s">
        <v>375</v>
      </c>
      <c r="B25" t="s">
        <v>393</v>
      </c>
      <c r="C25" t="s">
        <v>384</v>
      </c>
      <c r="D25" s="123">
        <v>22</v>
      </c>
      <c r="F25" s="32">
        <f t="shared" si="0"/>
        <v>0</v>
      </c>
      <c r="H25" s="104" t="s">
        <v>904</v>
      </c>
    </row>
    <row r="26" spans="1:8" x14ac:dyDescent="0.25">
      <c r="A26" t="s">
        <v>387</v>
      </c>
      <c r="B26" t="s">
        <v>380</v>
      </c>
      <c r="C26" t="s">
        <v>376</v>
      </c>
      <c r="D26" s="123">
        <v>54424.77</v>
      </c>
      <c r="F26" s="32">
        <f t="shared" si="0"/>
        <v>3504.7400000000052</v>
      </c>
      <c r="H26" s="104" t="s">
        <v>905</v>
      </c>
    </row>
    <row r="27" spans="1:8" x14ac:dyDescent="0.25">
      <c r="A27" t="s">
        <v>387</v>
      </c>
      <c r="B27" t="s">
        <v>381</v>
      </c>
      <c r="C27" t="s">
        <v>376</v>
      </c>
      <c r="D27" s="123">
        <v>6996.2599999999993</v>
      </c>
      <c r="F27" s="32">
        <f t="shared" si="0"/>
        <v>-283.59000000000196</v>
      </c>
      <c r="H27" s="50" t="s">
        <v>350</v>
      </c>
    </row>
    <row r="28" spans="1:8" x14ac:dyDescent="0.25">
      <c r="A28" s="84" t="s">
        <v>387</v>
      </c>
      <c r="B28" s="84" t="s">
        <v>392</v>
      </c>
      <c r="C28" s="84" t="s">
        <v>376</v>
      </c>
      <c r="D28" s="127">
        <v>29833.919999999973</v>
      </c>
      <c r="E28" s="84"/>
      <c r="F28" s="128">
        <f t="shared" si="0"/>
        <v>-37936.759999999806</v>
      </c>
      <c r="H28" s="50" t="s">
        <v>351</v>
      </c>
    </row>
    <row r="29" spans="1:8" x14ac:dyDescent="0.25">
      <c r="A29" t="s">
        <v>387</v>
      </c>
      <c r="B29" t="s">
        <v>393</v>
      </c>
      <c r="C29" t="s">
        <v>376</v>
      </c>
      <c r="D29" s="123">
        <v>6107.27</v>
      </c>
      <c r="F29" s="32">
        <f t="shared" si="0"/>
        <v>-4662.32</v>
      </c>
      <c r="H29" s="104" t="s">
        <v>909</v>
      </c>
    </row>
    <row r="30" spans="1:8" x14ac:dyDescent="0.25">
      <c r="A30" t="s">
        <v>376</v>
      </c>
      <c r="B30" t="s">
        <v>380</v>
      </c>
      <c r="C30" t="s">
        <v>376</v>
      </c>
      <c r="D30" s="123">
        <v>22091.020000000004</v>
      </c>
      <c r="F30" s="32">
        <f t="shared" si="0"/>
        <v>-712.45999999999913</v>
      </c>
      <c r="H30" s="104" t="s">
        <v>904</v>
      </c>
    </row>
    <row r="31" spans="1:8" x14ac:dyDescent="0.25">
      <c r="A31" t="s">
        <v>376</v>
      </c>
      <c r="B31" t="s">
        <v>381</v>
      </c>
      <c r="C31" t="s">
        <v>376</v>
      </c>
      <c r="D31" s="123">
        <v>21581.319999999956</v>
      </c>
      <c r="F31" s="32">
        <f t="shared" si="0"/>
        <v>-9.0000000000400178</v>
      </c>
      <c r="H31" s="104" t="s">
        <v>911</v>
      </c>
    </row>
    <row r="32" spans="1:8" x14ac:dyDescent="0.25">
      <c r="A32" t="s">
        <v>376</v>
      </c>
      <c r="B32" t="s">
        <v>392</v>
      </c>
      <c r="C32" t="s">
        <v>376</v>
      </c>
      <c r="D32" s="123">
        <v>192</v>
      </c>
      <c r="F32" s="32">
        <f t="shared" si="0"/>
        <v>-1789.2099999999998</v>
      </c>
      <c r="H32" s="50" t="s">
        <v>352</v>
      </c>
    </row>
    <row r="33" spans="1:8" x14ac:dyDescent="0.25">
      <c r="A33" t="s">
        <v>376</v>
      </c>
      <c r="B33" t="s">
        <v>393</v>
      </c>
      <c r="C33" t="s">
        <v>376</v>
      </c>
      <c r="D33" s="123">
        <v>0</v>
      </c>
      <c r="F33" s="32">
        <f t="shared" si="0"/>
        <v>0</v>
      </c>
      <c r="H33" s="50" t="s">
        <v>353</v>
      </c>
    </row>
    <row r="34" spans="1:8" x14ac:dyDescent="0.25">
      <c r="H34" s="50" t="s">
        <v>354</v>
      </c>
    </row>
    <row r="35" spans="1:8" x14ac:dyDescent="0.25">
      <c r="H35" s="50" t="s">
        <v>355</v>
      </c>
    </row>
    <row r="36" spans="1:8" x14ac:dyDescent="0.25">
      <c r="H36" s="50" t="s">
        <v>899</v>
      </c>
    </row>
    <row r="37" spans="1:8" x14ac:dyDescent="0.25">
      <c r="H37" s="50" t="s">
        <v>900</v>
      </c>
    </row>
    <row r="38" spans="1:8" x14ac:dyDescent="0.25">
      <c r="H38" s="50" t="s">
        <v>901</v>
      </c>
    </row>
    <row r="39" spans="1:8" x14ac:dyDescent="0.25">
      <c r="H39" s="50" t="s">
        <v>902</v>
      </c>
    </row>
    <row r="40" spans="1:8" x14ac:dyDescent="0.25">
      <c r="H40" s="50" t="s">
        <v>5</v>
      </c>
    </row>
    <row r="41" spans="1:8" x14ac:dyDescent="0.25">
      <c r="H41" s="51" t="s">
        <v>949</v>
      </c>
    </row>
    <row r="42" spans="1:8" x14ac:dyDescent="0.25">
      <c r="H42" s="94" t="s">
        <v>912</v>
      </c>
    </row>
    <row r="43" spans="1:8" x14ac:dyDescent="0.25">
      <c r="H43" s="94" t="s">
        <v>914</v>
      </c>
    </row>
    <row r="44" spans="1:8" x14ac:dyDescent="0.25">
      <c r="H44" s="94" t="s">
        <v>915</v>
      </c>
    </row>
    <row r="45" spans="1:8" x14ac:dyDescent="0.25">
      <c r="H45" s="94" t="s">
        <v>898</v>
      </c>
    </row>
    <row r="46" spans="1:8" x14ac:dyDescent="0.25">
      <c r="H46" s="94" t="s">
        <v>916</v>
      </c>
    </row>
    <row r="47" spans="1:8" x14ac:dyDescent="0.25">
      <c r="H47" s="94" t="s">
        <v>917</v>
      </c>
    </row>
    <row r="48" spans="1:8" x14ac:dyDescent="0.25">
      <c r="H48" s="94" t="s">
        <v>918</v>
      </c>
    </row>
    <row r="49" spans="8:8" x14ac:dyDescent="0.25">
      <c r="H49" s="94" t="s">
        <v>919</v>
      </c>
    </row>
    <row r="50" spans="8:8" x14ac:dyDescent="0.25">
      <c r="H50" s="94" t="s">
        <v>920</v>
      </c>
    </row>
    <row r="51" spans="8:8" x14ac:dyDescent="0.25">
      <c r="H51" s="50" t="s">
        <v>356</v>
      </c>
    </row>
    <row r="52" spans="8:8" x14ac:dyDescent="0.25">
      <c r="H52" s="50" t="s">
        <v>8</v>
      </c>
    </row>
    <row r="53" spans="8:8" x14ac:dyDescent="0.25">
      <c r="H53" s="50" t="s">
        <v>364</v>
      </c>
    </row>
    <row r="54" spans="8:8" x14ac:dyDescent="0.25">
      <c r="H54" s="50" t="s">
        <v>365</v>
      </c>
    </row>
    <row r="55" spans="8:8" x14ac:dyDescent="0.25">
      <c r="H55" s="50" t="s">
        <v>366</v>
      </c>
    </row>
    <row r="56" spans="8:8" x14ac:dyDescent="0.25">
      <c r="H56" s="50" t="s">
        <v>6</v>
      </c>
    </row>
    <row r="57" spans="8:8" x14ac:dyDescent="0.25">
      <c r="H57" s="50" t="s">
        <v>357</v>
      </c>
    </row>
    <row r="58" spans="8:8" x14ac:dyDescent="0.25">
      <c r="H58" s="52" t="s">
        <v>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M172"/>
  <sheetViews>
    <sheetView showGridLines="0" workbookViewId="0"/>
  </sheetViews>
  <sheetFormatPr defaultRowHeight="15" x14ac:dyDescent="0.25"/>
  <cols>
    <col min="1" max="1" width="111.42578125" customWidth="1"/>
    <col min="2" max="2" width="12.5703125" customWidth="1"/>
    <col min="3" max="3" width="10" style="54" bestFit="1" customWidth="1"/>
    <col min="4" max="4" width="11.7109375" style="54" customWidth="1"/>
    <col min="5" max="5" width="15" bestFit="1" customWidth="1"/>
    <col min="6" max="6" width="15.85546875" bestFit="1" customWidth="1"/>
    <col min="7" max="7" width="12.85546875" bestFit="1" customWidth="1"/>
    <col min="8" max="8" width="12.140625" bestFit="1" customWidth="1"/>
    <col min="9" max="9" width="12" bestFit="1" customWidth="1"/>
    <col min="10" max="11" width="11.5703125" bestFit="1" customWidth="1"/>
    <col min="12" max="12" width="10.7109375" bestFit="1" customWidth="1"/>
    <col min="13" max="13" width="10.28515625" bestFit="1" customWidth="1"/>
  </cols>
  <sheetData>
    <row r="1" spans="1:13" s="98" customFormat="1" x14ac:dyDescent="0.25">
      <c r="F1" s="101">
        <v>43160.387442129628</v>
      </c>
    </row>
    <row r="2" spans="1:13" x14ac:dyDescent="0.25">
      <c r="A2" s="47" t="s">
        <v>340</v>
      </c>
      <c r="B2" s="98"/>
      <c r="C2" s="56" t="s">
        <v>10</v>
      </c>
      <c r="D2" s="56" t="s">
        <v>859</v>
      </c>
      <c r="E2" s="56" t="s">
        <v>859</v>
      </c>
      <c r="F2" s="53" t="s">
        <v>367</v>
      </c>
      <c r="G2" s="53" t="s">
        <v>368</v>
      </c>
      <c r="H2" s="53" t="s">
        <v>369</v>
      </c>
      <c r="I2" s="53" t="s">
        <v>370</v>
      </c>
      <c r="J2" s="53" t="s">
        <v>371</v>
      </c>
      <c r="K2" s="53" t="s">
        <v>372</v>
      </c>
      <c r="L2" s="53" t="s">
        <v>373</v>
      </c>
      <c r="M2" s="53" t="s">
        <v>374</v>
      </c>
    </row>
    <row r="3" spans="1:13" x14ac:dyDescent="0.25">
      <c r="A3" s="48" t="s">
        <v>341</v>
      </c>
      <c r="B3" s="98"/>
      <c r="C3" s="29" t="str">
        <f>VLOOKUP(D3,ResCat!$A$2:$B$268,2,FALSE)</f>
        <v>XXX</v>
      </c>
      <c r="D3" s="29" t="str">
        <f>IF(ISNA(VLOOKUP(E3,COA!$A$3:$B$337,2,FALSE)),"XXX",VLOOKUP(E3,COA!$A$3:$B$337,2,FALSE))</f>
        <v>XXX</v>
      </c>
      <c r="E3" s="66" t="str">
        <f t="shared" ref="E3:E34" si="0">F3&amp;G3&amp;H3</f>
        <v/>
      </c>
      <c r="F3" s="89"/>
      <c r="G3" s="89"/>
      <c r="H3" s="89"/>
      <c r="I3" s="90">
        <v>0</v>
      </c>
      <c r="J3" s="90">
        <v>574</v>
      </c>
      <c r="K3" s="90">
        <v>0</v>
      </c>
      <c r="L3" s="90">
        <v>389</v>
      </c>
      <c r="M3" s="90">
        <v>0</v>
      </c>
    </row>
    <row r="4" spans="1:13" x14ac:dyDescent="0.25">
      <c r="A4" s="48" t="s">
        <v>342</v>
      </c>
      <c r="B4" s="98"/>
      <c r="C4" s="30" t="str">
        <f>VLOOKUP(D4,ResCat!$A$2:$B$268,2,FALSE)</f>
        <v>XXX</v>
      </c>
      <c r="D4" s="30" t="str">
        <f>IF(ISNA(VLOOKUP(E4,COA!$A$3:$B$337,2,FALSE)),"XXX",VLOOKUP(E4,COA!$A$3:$B$337,2,FALSE))</f>
        <v>XXX</v>
      </c>
      <c r="E4" s="67" t="str">
        <f t="shared" si="0"/>
        <v>000000000000</v>
      </c>
      <c r="F4" s="89" t="s">
        <v>924</v>
      </c>
      <c r="G4" s="89" t="s">
        <v>924</v>
      </c>
      <c r="H4" s="89" t="s">
        <v>924</v>
      </c>
      <c r="I4" s="90">
        <v>29</v>
      </c>
      <c r="J4" s="90">
        <v>0</v>
      </c>
      <c r="K4" s="90">
        <v>0</v>
      </c>
      <c r="L4" s="90">
        <v>0</v>
      </c>
      <c r="M4" s="90">
        <v>0</v>
      </c>
    </row>
    <row r="5" spans="1:13" x14ac:dyDescent="0.25">
      <c r="A5" s="48" t="s">
        <v>343</v>
      </c>
      <c r="B5" s="98"/>
      <c r="C5" s="30" t="str">
        <f>VLOOKUP(D5,ResCat!$A$2:$B$268,2,FALSE)</f>
        <v>XXX</v>
      </c>
      <c r="D5" s="30" t="str">
        <f>IF(ISNA(VLOOKUP(E5,COA!$A$3:$B$337,2,FALSE)),"XXX",VLOOKUP(E5,COA!$A$3:$B$337,2,FALSE))</f>
        <v>XXX</v>
      </c>
      <c r="E5" s="67" t="str">
        <f t="shared" si="0"/>
        <v>000010020000</v>
      </c>
      <c r="F5" s="89" t="s">
        <v>924</v>
      </c>
      <c r="G5" s="89" t="s">
        <v>380</v>
      </c>
      <c r="H5" s="89" t="s">
        <v>924</v>
      </c>
      <c r="I5" s="90">
        <v>0</v>
      </c>
      <c r="J5" s="90">
        <v>0</v>
      </c>
      <c r="K5" s="90">
        <v>5</v>
      </c>
      <c r="L5" s="90">
        <v>0</v>
      </c>
      <c r="M5" s="90">
        <v>0</v>
      </c>
    </row>
    <row r="6" spans="1:13" x14ac:dyDescent="0.25">
      <c r="A6" s="48" t="s">
        <v>344</v>
      </c>
      <c r="B6" s="98"/>
      <c r="C6" s="30" t="str">
        <f>VLOOKUP(D6,ResCat!$A$2:$B$268,2,FALSE)</f>
        <v>XXX</v>
      </c>
      <c r="D6" s="30" t="str">
        <f>IF(ISNA(VLOOKUP(E6,COA!$A$3:$B$337,2,FALSE)),"XXX",VLOOKUP(E6,COA!$A$3:$B$337,2,FALSE))</f>
        <v>XXX</v>
      </c>
      <c r="E6" s="67" t="str">
        <f t="shared" si="0"/>
        <v>000010040000</v>
      </c>
      <c r="F6" s="89" t="s">
        <v>924</v>
      </c>
      <c r="G6" s="89" t="s">
        <v>382</v>
      </c>
      <c r="H6" s="89" t="s">
        <v>924</v>
      </c>
      <c r="I6" s="90">
        <v>1</v>
      </c>
      <c r="J6" s="90">
        <v>0</v>
      </c>
      <c r="K6" s="90">
        <v>0</v>
      </c>
      <c r="L6" s="90">
        <v>0</v>
      </c>
      <c r="M6" s="90">
        <v>0</v>
      </c>
    </row>
    <row r="7" spans="1:13" x14ac:dyDescent="0.25">
      <c r="A7" s="50" t="s">
        <v>345</v>
      </c>
      <c r="B7" s="98"/>
      <c r="C7" s="30" t="str">
        <f>VLOOKUP(D7,ResCat!$A$2:$B$268,2,FALSE)</f>
        <v>XXX</v>
      </c>
      <c r="D7" s="30" t="str">
        <f>IF(ISNA(VLOOKUP(E7,COA!$A$3:$B$337,2,FALSE)),"XXX",VLOOKUP(E7,COA!$A$3:$B$337,2,FALSE))</f>
        <v>XXX</v>
      </c>
      <c r="E7" s="67" t="str">
        <f t="shared" si="0"/>
        <v>000010130000</v>
      </c>
      <c r="F7" s="89" t="s">
        <v>924</v>
      </c>
      <c r="G7" s="89" t="s">
        <v>393</v>
      </c>
      <c r="H7" s="89" t="s">
        <v>924</v>
      </c>
      <c r="I7" s="90">
        <v>1</v>
      </c>
      <c r="J7" s="90">
        <v>0</v>
      </c>
      <c r="K7" s="90">
        <v>0</v>
      </c>
      <c r="L7" s="90">
        <v>0</v>
      </c>
      <c r="M7" s="90">
        <v>0</v>
      </c>
    </row>
    <row r="8" spans="1:13" x14ac:dyDescent="0.25">
      <c r="A8" s="50" t="s">
        <v>346</v>
      </c>
      <c r="B8" s="98"/>
      <c r="C8" s="30" t="str">
        <f>VLOOKUP(D8,ResCat!$A$2:$B$268,2,FALSE)</f>
        <v>AGDMHC</v>
      </c>
      <c r="D8" s="30" t="str">
        <f>IF(ISNA(VLOOKUP(E8,COA!$A$3:$B$337,2,FALSE)),"XXX",VLOOKUP(E8,COA!$A$3:$B$337,2,FALSE))</f>
        <v>D91</v>
      </c>
      <c r="E8" s="67" t="str">
        <f t="shared" si="0"/>
        <v>000110000003</v>
      </c>
      <c r="F8" s="89" t="s">
        <v>454</v>
      </c>
      <c r="G8" s="89" t="s">
        <v>329</v>
      </c>
      <c r="H8" s="89" t="s">
        <v>375</v>
      </c>
      <c r="I8" s="90">
        <v>0</v>
      </c>
      <c r="J8" s="90">
        <v>821</v>
      </c>
      <c r="K8" s="90">
        <v>0</v>
      </c>
      <c r="L8" s="90">
        <v>0</v>
      </c>
      <c r="M8" s="90">
        <v>0</v>
      </c>
    </row>
    <row r="9" spans="1:13" x14ac:dyDescent="0.25">
      <c r="A9" s="50" t="s">
        <v>4</v>
      </c>
      <c r="B9" s="98"/>
      <c r="C9" s="30" t="str">
        <f>VLOOKUP(D9,ResCat!$A$2:$B$268,2,FALSE)</f>
        <v>AGDMHC</v>
      </c>
      <c r="D9" s="30" t="str">
        <f>IF(ISNA(VLOOKUP(E9,COA!$A$3:$B$337,2,FALSE)),"XXX",VLOOKUP(E9,COA!$A$3:$B$337,2,FALSE))</f>
        <v>D96</v>
      </c>
      <c r="E9" s="67" t="str">
        <f t="shared" si="0"/>
        <v>000110010003</v>
      </c>
      <c r="F9" s="89" t="s">
        <v>454</v>
      </c>
      <c r="G9" s="89" t="s">
        <v>338</v>
      </c>
      <c r="H9" s="89" t="s">
        <v>375</v>
      </c>
      <c r="I9" s="90">
        <v>0</v>
      </c>
      <c r="J9" s="90">
        <v>20904.530000000002</v>
      </c>
      <c r="K9" s="90">
        <v>0</v>
      </c>
      <c r="L9" s="90">
        <v>734</v>
      </c>
      <c r="M9" s="90">
        <v>9</v>
      </c>
    </row>
    <row r="10" spans="1:13" x14ac:dyDescent="0.25">
      <c r="A10" s="50" t="s">
        <v>364</v>
      </c>
      <c r="B10" s="98"/>
      <c r="C10" s="30" t="str">
        <f>VLOOKUP(D10,ResCat!$A$2:$B$268,2,FALSE)</f>
        <v>AGDMHC</v>
      </c>
      <c r="D10" s="30" t="str">
        <f>IF(ISNA(VLOOKUP(E10,COA!$A$3:$B$337,2,FALSE)),"XXX",VLOOKUP(E10,COA!$A$3:$B$337,2,FALSE))</f>
        <v>D11</v>
      </c>
      <c r="E10" s="67" t="str">
        <f t="shared" si="0"/>
        <v>000110010026</v>
      </c>
      <c r="F10" s="89" t="s">
        <v>454</v>
      </c>
      <c r="G10" s="89" t="s">
        <v>338</v>
      </c>
      <c r="H10" s="89" t="s">
        <v>411</v>
      </c>
      <c r="I10" s="90">
        <v>0</v>
      </c>
      <c r="J10" s="90">
        <v>1</v>
      </c>
      <c r="K10" s="90">
        <v>0</v>
      </c>
      <c r="L10" s="90">
        <v>1</v>
      </c>
      <c r="M10" s="90">
        <v>0</v>
      </c>
    </row>
    <row r="11" spans="1:13" x14ac:dyDescent="0.25">
      <c r="A11" s="50" t="s">
        <v>365</v>
      </c>
      <c r="B11" s="98"/>
      <c r="C11" s="30" t="str">
        <f>VLOOKUP(D11,ResCat!$A$2:$B$268,2,FALSE)</f>
        <v>AGDMHC</v>
      </c>
      <c r="D11" s="30" t="str">
        <f>IF(ISNA(VLOOKUP(E11,COA!$A$3:$B$337,2,FALSE)),"XXX",VLOOKUP(E11,COA!$A$3:$B$337,2,FALSE))</f>
        <v>D71</v>
      </c>
      <c r="E11" s="67" t="str">
        <f t="shared" si="0"/>
        <v>000110030003</v>
      </c>
      <c r="F11" s="89" t="s">
        <v>454</v>
      </c>
      <c r="G11" s="89" t="s">
        <v>381</v>
      </c>
      <c r="H11" s="89" t="s">
        <v>375</v>
      </c>
      <c r="I11" s="90">
        <v>0</v>
      </c>
      <c r="J11" s="90">
        <v>1565</v>
      </c>
      <c r="K11" s="90">
        <v>0</v>
      </c>
      <c r="L11" s="90">
        <v>0</v>
      </c>
      <c r="M11" s="90">
        <v>0</v>
      </c>
    </row>
    <row r="12" spans="1:13" x14ac:dyDescent="0.25">
      <c r="A12" s="50" t="s">
        <v>366</v>
      </c>
      <c r="B12" s="98"/>
      <c r="C12" s="30" t="str">
        <f>VLOOKUP(D12,ResCat!$A$2:$B$268,2,FALSE)</f>
        <v>AGDMHC</v>
      </c>
      <c r="D12" s="30" t="str">
        <f>IF(ISNA(VLOOKUP(E12,COA!$A$3:$B$337,2,FALSE)),"XXX",VLOOKUP(E12,COA!$A$3:$B$337,2,FALSE))</f>
        <v>D91</v>
      </c>
      <c r="E12" s="67" t="str">
        <f t="shared" si="0"/>
        <v>000110040003</v>
      </c>
      <c r="F12" s="89" t="s">
        <v>454</v>
      </c>
      <c r="G12" s="89" t="s">
        <v>382</v>
      </c>
      <c r="H12" s="89" t="s">
        <v>375</v>
      </c>
      <c r="I12" s="90">
        <v>0</v>
      </c>
      <c r="J12" s="90">
        <v>285</v>
      </c>
      <c r="K12" s="90">
        <v>0</v>
      </c>
      <c r="L12" s="90">
        <v>66</v>
      </c>
      <c r="M12" s="90">
        <v>21</v>
      </c>
    </row>
    <row r="13" spans="1:13" x14ac:dyDescent="0.25">
      <c r="A13" s="50" t="s">
        <v>903</v>
      </c>
      <c r="B13" s="98"/>
      <c r="C13" s="30" t="str">
        <f>VLOOKUP(D13,ResCat!$A$2:$B$268,2,FALSE)</f>
        <v>AGDMHC</v>
      </c>
      <c r="D13" s="30" t="str">
        <f>IF(ISNA(VLOOKUP(E13,COA!$A$3:$B$337,2,FALSE)),"XXX",VLOOKUP(E13,COA!$A$3:$B$337,2,FALSE))</f>
        <v>D91</v>
      </c>
      <c r="E13" s="67" t="str">
        <f t="shared" si="0"/>
        <v>000110050003</v>
      </c>
      <c r="F13" s="89" t="s">
        <v>454</v>
      </c>
      <c r="G13" s="89" t="s">
        <v>385</v>
      </c>
      <c r="H13" s="89" t="s">
        <v>375</v>
      </c>
      <c r="I13" s="90">
        <v>0</v>
      </c>
      <c r="J13" s="90">
        <v>305.52</v>
      </c>
      <c r="K13" s="90">
        <v>0</v>
      </c>
      <c r="L13" s="90">
        <v>52</v>
      </c>
      <c r="M13" s="90">
        <v>17</v>
      </c>
    </row>
    <row r="14" spans="1:13" x14ac:dyDescent="0.25">
      <c r="A14" s="50" t="s">
        <v>359</v>
      </c>
      <c r="B14" s="98"/>
      <c r="C14" s="30" t="str">
        <f>VLOOKUP(D14,ResCat!$A$2:$B$268,2,FALSE)</f>
        <v>AGDMHC</v>
      </c>
      <c r="D14" s="30" t="str">
        <f>IF(ISNA(VLOOKUP(E14,COA!$A$3:$B$337,2,FALSE)),"XXX",VLOOKUP(E14,COA!$A$3:$B$337,2,FALSE))</f>
        <v>D91</v>
      </c>
      <c r="E14" s="67" t="str">
        <f t="shared" si="0"/>
        <v>000110060003</v>
      </c>
      <c r="F14" s="89" t="s">
        <v>454</v>
      </c>
      <c r="G14" s="89" t="s">
        <v>386</v>
      </c>
      <c r="H14" s="89" t="s">
        <v>375</v>
      </c>
      <c r="I14" s="90">
        <v>0</v>
      </c>
      <c r="J14" s="90">
        <v>821.63999999999987</v>
      </c>
      <c r="K14" s="90">
        <v>0</v>
      </c>
      <c r="L14" s="90">
        <v>436.74</v>
      </c>
      <c r="M14" s="90">
        <v>222.03</v>
      </c>
    </row>
    <row r="15" spans="1:13" x14ac:dyDescent="0.25">
      <c r="A15" s="50" t="s">
        <v>906</v>
      </c>
      <c r="B15" s="98"/>
      <c r="C15" s="30" t="str">
        <f>VLOOKUP(D15,ResCat!$A$2:$B$268,2,FALSE)</f>
        <v>AGDMHC</v>
      </c>
      <c r="D15" s="30" t="str">
        <f>IF(ISNA(VLOOKUP(E15,COA!$A$3:$B$337,2,FALSE)),"XXX",VLOOKUP(E15,COA!$A$3:$B$337,2,FALSE))</f>
        <v>D85</v>
      </c>
      <c r="E15" s="67" t="str">
        <f t="shared" si="0"/>
        <v>000110090003</v>
      </c>
      <c r="F15" s="89" t="s">
        <v>454</v>
      </c>
      <c r="G15" s="89" t="s">
        <v>335</v>
      </c>
      <c r="H15" s="89" t="s">
        <v>375</v>
      </c>
      <c r="I15" s="90">
        <v>0</v>
      </c>
      <c r="J15" s="90">
        <v>117.03</v>
      </c>
      <c r="K15" s="90">
        <v>0</v>
      </c>
      <c r="L15" s="90">
        <v>0</v>
      </c>
      <c r="M15" s="90">
        <v>0</v>
      </c>
    </row>
    <row r="16" spans="1:13" x14ac:dyDescent="0.25">
      <c r="A16" s="50" t="s">
        <v>360</v>
      </c>
      <c r="B16" s="98"/>
      <c r="C16" s="30" t="str">
        <f>VLOOKUP(D16,ResCat!$A$2:$B$268,2,FALSE)</f>
        <v>AGDMHC</v>
      </c>
      <c r="D16" s="30" t="str">
        <f>IF(ISNA(VLOOKUP(E16,COA!$A$3:$B$337,2,FALSE)),"XXX",VLOOKUP(E16,COA!$A$3:$B$337,2,FALSE))</f>
        <v>D81</v>
      </c>
      <c r="E16" s="67" t="str">
        <f t="shared" si="0"/>
        <v>000110100003</v>
      </c>
      <c r="F16" s="89" t="s">
        <v>454</v>
      </c>
      <c r="G16" s="89" t="s">
        <v>389</v>
      </c>
      <c r="H16" s="89" t="s">
        <v>375</v>
      </c>
      <c r="I16" s="90">
        <v>0</v>
      </c>
      <c r="J16" s="90">
        <v>11225.030000000004</v>
      </c>
      <c r="K16" s="90">
        <v>0</v>
      </c>
      <c r="L16" s="90">
        <v>2386.0099999999998</v>
      </c>
      <c r="M16" s="90">
        <v>503.05000000000007</v>
      </c>
    </row>
    <row r="17" spans="1:13" x14ac:dyDescent="0.25">
      <c r="A17" s="50" t="s">
        <v>361</v>
      </c>
      <c r="B17" s="98"/>
      <c r="C17" s="30" t="str">
        <f>VLOOKUP(D17,ResCat!$A$2:$B$268,2,FALSE)</f>
        <v>AGDMHC</v>
      </c>
      <c r="D17" s="30" t="str">
        <f>IF(ISNA(VLOOKUP(E17,COA!$A$3:$B$337,2,FALSE)),"XXX",VLOOKUP(E17,COA!$A$3:$B$337,2,FALSE))</f>
        <v>D71</v>
      </c>
      <c r="E17" s="67" t="str">
        <f t="shared" si="0"/>
        <v>000110120003</v>
      </c>
      <c r="F17" s="89" t="s">
        <v>454</v>
      </c>
      <c r="G17" s="89" t="s">
        <v>392</v>
      </c>
      <c r="H17" s="89" t="s">
        <v>375</v>
      </c>
      <c r="I17" s="90">
        <v>0</v>
      </c>
      <c r="J17" s="90">
        <v>63</v>
      </c>
      <c r="K17" s="90">
        <v>0</v>
      </c>
      <c r="L17" s="90">
        <v>44</v>
      </c>
      <c r="M17" s="90">
        <v>0</v>
      </c>
    </row>
    <row r="18" spans="1:13" x14ac:dyDescent="0.25">
      <c r="A18" s="50" t="s">
        <v>347</v>
      </c>
      <c r="B18" s="98"/>
      <c r="C18" s="30" t="str">
        <f>VLOOKUP(D18,ResCat!$A$2:$B$268,2,FALSE)</f>
        <v>AGDMHC</v>
      </c>
      <c r="D18" s="30" t="str">
        <f>IF(ISNA(VLOOKUP(E18,COA!$A$3:$B$337,2,FALSE)),"XXX",VLOOKUP(E18,COA!$A$3:$B$337,2,FALSE))</f>
        <v>D93</v>
      </c>
      <c r="E18" s="67" t="str">
        <f t="shared" si="0"/>
        <v>000110140003</v>
      </c>
      <c r="F18" s="89" t="s">
        <v>454</v>
      </c>
      <c r="G18" s="89" t="s">
        <v>401</v>
      </c>
      <c r="H18" s="89" t="s">
        <v>375</v>
      </c>
      <c r="I18" s="90">
        <v>0</v>
      </c>
      <c r="J18" s="90">
        <v>242</v>
      </c>
      <c r="K18" s="90">
        <v>0</v>
      </c>
      <c r="L18" s="90">
        <v>146</v>
      </c>
      <c r="M18" s="90">
        <v>0</v>
      </c>
    </row>
    <row r="19" spans="1:13" x14ac:dyDescent="0.25">
      <c r="A19" s="50" t="s">
        <v>362</v>
      </c>
      <c r="B19" s="98"/>
      <c r="C19" s="30" t="str">
        <f>VLOOKUP(D19,ResCat!$A$2:$B$268,2,FALSE)</f>
        <v>XXX</v>
      </c>
      <c r="D19" s="30" t="str">
        <f>IF(ISNA(VLOOKUP(E19,COA!$A$3:$B$337,2,FALSE)),"XXX",VLOOKUP(E19,COA!$A$3:$B$337,2,FALSE))</f>
        <v>XXX</v>
      </c>
      <c r="E19" s="67" t="str">
        <f t="shared" si="0"/>
        <v>000210000004</v>
      </c>
      <c r="F19" s="89" t="s">
        <v>522</v>
      </c>
      <c r="G19" s="89" t="s">
        <v>329</v>
      </c>
      <c r="H19" s="89" t="s">
        <v>528</v>
      </c>
      <c r="I19" s="90">
        <v>0</v>
      </c>
      <c r="J19" s="90">
        <v>500</v>
      </c>
      <c r="K19" s="90">
        <v>0</v>
      </c>
      <c r="L19" s="90">
        <v>0</v>
      </c>
      <c r="M19" s="90">
        <v>0</v>
      </c>
    </row>
    <row r="20" spans="1:13" x14ac:dyDescent="0.25">
      <c r="A20" s="50" t="s">
        <v>363</v>
      </c>
      <c r="B20" s="98"/>
      <c r="C20" s="30" t="str">
        <f>VLOOKUP(D20,ResCat!$A$2:$B$268,2,FALSE)</f>
        <v>AGDMHC</v>
      </c>
      <c r="D20" s="30" t="str">
        <f>IF(ISNA(VLOOKUP(E20,COA!$A$3:$B$337,2,FALSE)),"XXX",VLOOKUP(E20,COA!$A$3:$B$337,2,FALSE))</f>
        <v>D97</v>
      </c>
      <c r="E20" s="67" t="str">
        <f t="shared" si="0"/>
        <v>000210010005</v>
      </c>
      <c r="F20" s="89" t="s">
        <v>522</v>
      </c>
      <c r="G20" s="89" t="s">
        <v>338</v>
      </c>
      <c r="H20" s="89" t="s">
        <v>452</v>
      </c>
      <c r="I20" s="90">
        <v>0</v>
      </c>
      <c r="J20" s="90">
        <v>36257.279999999984</v>
      </c>
      <c r="K20" s="90">
        <v>0</v>
      </c>
      <c r="L20" s="90">
        <v>1710.06</v>
      </c>
      <c r="M20" s="90">
        <v>44</v>
      </c>
    </row>
    <row r="21" spans="1:13" x14ac:dyDescent="0.25">
      <c r="A21" s="50" t="s">
        <v>358</v>
      </c>
      <c r="B21" s="98"/>
      <c r="C21" s="30" t="str">
        <f>VLOOKUP(D21,ResCat!$A$2:$B$268,2,FALSE)</f>
        <v>AGDMHC</v>
      </c>
      <c r="D21" s="30" t="str">
        <f>IF(ISNA(VLOOKUP(E21,COA!$A$3:$B$337,2,FALSE)),"XXX",VLOOKUP(E21,COA!$A$3:$B$337,2,FALSE))</f>
        <v>D51</v>
      </c>
      <c r="E21" s="67" t="str">
        <f t="shared" si="0"/>
        <v>000210010028</v>
      </c>
      <c r="F21" s="89" t="s">
        <v>522</v>
      </c>
      <c r="G21" s="89" t="s">
        <v>338</v>
      </c>
      <c r="H21" s="89" t="s">
        <v>413</v>
      </c>
      <c r="I21" s="90">
        <v>0</v>
      </c>
      <c r="J21" s="90">
        <v>2500.7000000000062</v>
      </c>
      <c r="K21" s="90">
        <v>0</v>
      </c>
      <c r="L21" s="90">
        <v>2394.700000000003</v>
      </c>
      <c r="M21" s="90">
        <v>0</v>
      </c>
    </row>
    <row r="22" spans="1:13" x14ac:dyDescent="0.25">
      <c r="A22" s="50" t="s">
        <v>348</v>
      </c>
      <c r="B22" s="98"/>
      <c r="C22" s="30" t="str">
        <f>VLOOKUP(D22,ResCat!$A$2:$B$268,2,FALSE)</f>
        <v>AGDMHC</v>
      </c>
      <c r="D22" s="30" t="str">
        <f>IF(ISNA(VLOOKUP(E22,COA!$A$3:$B$337,2,FALSE)),"XXX",VLOOKUP(E22,COA!$A$3:$B$337,2,FALSE))</f>
        <v>D72</v>
      </c>
      <c r="E22" s="67" t="str">
        <f t="shared" si="0"/>
        <v>000210030005</v>
      </c>
      <c r="F22" s="89" t="s">
        <v>522</v>
      </c>
      <c r="G22" s="89" t="s">
        <v>381</v>
      </c>
      <c r="H22" s="89" t="s">
        <v>452</v>
      </c>
      <c r="I22" s="90">
        <v>0</v>
      </c>
      <c r="J22" s="90">
        <v>1</v>
      </c>
      <c r="K22" s="90">
        <v>0</v>
      </c>
      <c r="L22" s="90">
        <v>0</v>
      </c>
      <c r="M22" s="90">
        <v>1</v>
      </c>
    </row>
    <row r="23" spans="1:13" x14ac:dyDescent="0.25">
      <c r="A23" s="50" t="s">
        <v>349</v>
      </c>
      <c r="B23" s="98"/>
      <c r="C23" s="30" t="str">
        <f>VLOOKUP(D23,ResCat!$A$2:$B$268,2,FALSE)</f>
        <v>AGDMHC</v>
      </c>
      <c r="D23" s="30" t="str">
        <f>IF(ISNA(VLOOKUP(E23,COA!$A$3:$B$337,2,FALSE)),"XXX",VLOOKUP(E23,COA!$A$3:$B$337,2,FALSE))</f>
        <v>D92</v>
      </c>
      <c r="E23" s="67" t="str">
        <f t="shared" si="0"/>
        <v>000210040005</v>
      </c>
      <c r="F23" s="89" t="s">
        <v>522</v>
      </c>
      <c r="G23" s="89" t="s">
        <v>382</v>
      </c>
      <c r="H23" s="89" t="s">
        <v>452</v>
      </c>
      <c r="I23" s="90">
        <v>0</v>
      </c>
      <c r="J23" s="90">
        <v>1218.5500000000002</v>
      </c>
      <c r="K23" s="90">
        <v>0</v>
      </c>
      <c r="L23" s="90">
        <v>261</v>
      </c>
      <c r="M23" s="90">
        <v>52</v>
      </c>
    </row>
    <row r="24" spans="1:13" x14ac:dyDescent="0.25">
      <c r="A24" s="104" t="s">
        <v>907</v>
      </c>
      <c r="B24" s="93" t="s">
        <v>908</v>
      </c>
      <c r="C24" s="30" t="str">
        <f>VLOOKUP(D24,ResCat!$A$2:$B$268,2,FALSE)</f>
        <v>AGDMHC</v>
      </c>
      <c r="D24" s="30" t="str">
        <f>IF(ISNA(VLOOKUP(E24,COA!$A$3:$B$337,2,FALSE)),"XXX",VLOOKUP(E24,COA!$A$3:$B$337,2,FALSE))</f>
        <v>D92</v>
      </c>
      <c r="E24" s="67" t="str">
        <f t="shared" si="0"/>
        <v>000210050005</v>
      </c>
      <c r="F24" s="89" t="s">
        <v>522</v>
      </c>
      <c r="G24" s="89" t="s">
        <v>385</v>
      </c>
      <c r="H24" s="89" t="s">
        <v>452</v>
      </c>
      <c r="I24" s="90">
        <v>0</v>
      </c>
      <c r="J24" s="90">
        <v>487.03</v>
      </c>
      <c r="K24" s="90">
        <v>0</v>
      </c>
      <c r="L24" s="90">
        <v>206</v>
      </c>
      <c r="M24" s="90">
        <v>81.03</v>
      </c>
    </row>
    <row r="25" spans="1:13" x14ac:dyDescent="0.25">
      <c r="A25" s="104" t="s">
        <v>904</v>
      </c>
      <c r="B25" s="98"/>
      <c r="C25" s="30" t="str">
        <f>VLOOKUP(D25,ResCat!$A$2:$B$268,2,FALSE)</f>
        <v>AGDMHC</v>
      </c>
      <c r="D25" s="30" t="str">
        <f>IF(ISNA(VLOOKUP(E25,COA!$A$3:$B$337,2,FALSE)),"XXX",VLOOKUP(E25,COA!$A$3:$B$337,2,FALSE))</f>
        <v>D92</v>
      </c>
      <c r="E25" s="67" t="str">
        <f t="shared" si="0"/>
        <v>000210060005</v>
      </c>
      <c r="F25" s="89" t="s">
        <v>522</v>
      </c>
      <c r="G25" s="89" t="s">
        <v>386</v>
      </c>
      <c r="H25" s="89" t="s">
        <v>452</v>
      </c>
      <c r="I25" s="90">
        <v>0</v>
      </c>
      <c r="J25" s="90">
        <v>1552.84</v>
      </c>
      <c r="K25" s="90">
        <v>0</v>
      </c>
      <c r="L25" s="90">
        <v>630.23</v>
      </c>
      <c r="M25" s="90">
        <v>294</v>
      </c>
    </row>
    <row r="26" spans="1:13" x14ac:dyDescent="0.25">
      <c r="A26" s="104" t="s">
        <v>905</v>
      </c>
      <c r="B26" s="98"/>
      <c r="C26" s="30" t="str">
        <f>VLOOKUP(D26,ResCat!$A$2:$B$268,2,FALSE)</f>
        <v>XXX</v>
      </c>
      <c r="D26" s="30" t="str">
        <f>IF(ISNA(VLOOKUP(E26,COA!$A$3:$B$337,2,FALSE)),"XXX",VLOOKUP(E26,COA!$A$3:$B$337,2,FALSE))</f>
        <v>XXX</v>
      </c>
      <c r="E26" s="67" t="str">
        <f t="shared" si="0"/>
        <v>000210060028</v>
      </c>
      <c r="F26" s="89" t="s">
        <v>522</v>
      </c>
      <c r="G26" s="89" t="s">
        <v>386</v>
      </c>
      <c r="H26" s="89" t="s">
        <v>413</v>
      </c>
      <c r="I26" s="90">
        <v>0</v>
      </c>
      <c r="J26" s="90">
        <v>0.15</v>
      </c>
      <c r="K26" s="90">
        <v>0</v>
      </c>
      <c r="L26" s="90">
        <v>0.15</v>
      </c>
      <c r="M26" s="90">
        <v>0</v>
      </c>
    </row>
    <row r="27" spans="1:13" x14ac:dyDescent="0.25">
      <c r="A27" s="50" t="s">
        <v>350</v>
      </c>
      <c r="B27" s="98"/>
      <c r="C27" s="30" t="str">
        <f>VLOOKUP(D27,ResCat!$A$2:$B$268,2,FALSE)</f>
        <v>XXX</v>
      </c>
      <c r="D27" s="30" t="str">
        <f>IF(ISNA(VLOOKUP(E27,COA!$A$3:$B$337,2,FALSE)),"XXX",VLOOKUP(E27,COA!$A$3:$B$337,2,FALSE))</f>
        <v>XXX</v>
      </c>
      <c r="E27" s="67" t="str">
        <f t="shared" si="0"/>
        <v>000210090005</v>
      </c>
      <c r="F27" s="89" t="s">
        <v>522</v>
      </c>
      <c r="G27" s="89" t="s">
        <v>335</v>
      </c>
      <c r="H27" s="89" t="s">
        <v>452</v>
      </c>
      <c r="I27" s="90">
        <v>0</v>
      </c>
      <c r="J27" s="90">
        <v>16</v>
      </c>
      <c r="K27" s="90">
        <v>0</v>
      </c>
      <c r="L27" s="90">
        <v>0</v>
      </c>
      <c r="M27" s="90">
        <v>0</v>
      </c>
    </row>
    <row r="28" spans="1:13" x14ac:dyDescent="0.25">
      <c r="A28" s="50" t="s">
        <v>351</v>
      </c>
      <c r="B28" s="98"/>
      <c r="C28" s="30" t="str">
        <f>VLOOKUP(D28,ResCat!$A$2:$B$268,2,FALSE)</f>
        <v>AGDMHC</v>
      </c>
      <c r="D28" s="30" t="str">
        <f>IF(ISNA(VLOOKUP(E28,COA!$A$3:$B$337,2,FALSE)),"XXX",VLOOKUP(E28,COA!$A$3:$B$337,2,FALSE))</f>
        <v>D99</v>
      </c>
      <c r="E28" s="67" t="str">
        <f t="shared" si="0"/>
        <v>000210090009</v>
      </c>
      <c r="F28" s="89" t="s">
        <v>522</v>
      </c>
      <c r="G28" s="89" t="s">
        <v>335</v>
      </c>
      <c r="H28" s="89" t="s">
        <v>458</v>
      </c>
      <c r="I28" s="90">
        <v>0</v>
      </c>
      <c r="J28" s="90">
        <v>126.45</v>
      </c>
      <c r="K28" s="90">
        <v>0</v>
      </c>
      <c r="L28" s="90">
        <v>0</v>
      </c>
      <c r="M28" s="90">
        <v>0</v>
      </c>
    </row>
    <row r="29" spans="1:13" x14ac:dyDescent="0.25">
      <c r="A29" s="104" t="s">
        <v>909</v>
      </c>
      <c r="B29" s="93" t="s">
        <v>910</v>
      </c>
      <c r="C29" s="30" t="str">
        <f>VLOOKUP(D29,ResCat!$A$2:$B$268,2,FALSE)</f>
        <v>AGDMHC</v>
      </c>
      <c r="D29" s="30" t="str">
        <f>IF(ISNA(VLOOKUP(E29,COA!$A$3:$B$337,2,FALSE)),"XXX",VLOOKUP(E29,COA!$A$3:$B$337,2,FALSE))</f>
        <v>D82</v>
      </c>
      <c r="E29" s="67" t="str">
        <f t="shared" si="0"/>
        <v>000210100005</v>
      </c>
      <c r="F29" s="89" t="s">
        <v>522</v>
      </c>
      <c r="G29" s="89" t="s">
        <v>389</v>
      </c>
      <c r="H29" s="89" t="s">
        <v>452</v>
      </c>
      <c r="I29" s="90">
        <v>0</v>
      </c>
      <c r="J29" s="90">
        <v>42890.75999999998</v>
      </c>
      <c r="K29" s="90">
        <v>0</v>
      </c>
      <c r="L29" s="90">
        <v>7447.0899999999983</v>
      </c>
      <c r="M29" s="90">
        <v>1327.0900000000001</v>
      </c>
    </row>
    <row r="30" spans="1:13" x14ac:dyDescent="0.25">
      <c r="A30" s="104" t="s">
        <v>904</v>
      </c>
      <c r="B30" s="98"/>
      <c r="C30" s="30" t="str">
        <f>VLOOKUP(D30,ResCat!$A$2:$B$268,2,FALSE)</f>
        <v>AGDMHC</v>
      </c>
      <c r="D30" s="30" t="str">
        <f>IF(ISNA(VLOOKUP(E30,COA!$A$3:$B$337,2,FALSE)),"XXX",VLOOKUP(E30,COA!$A$3:$B$337,2,FALSE))</f>
        <v>D55</v>
      </c>
      <c r="E30" s="67" t="str">
        <f t="shared" si="0"/>
        <v>000210100028</v>
      </c>
      <c r="F30" s="89" t="s">
        <v>522</v>
      </c>
      <c r="G30" s="89" t="s">
        <v>389</v>
      </c>
      <c r="H30" s="89" t="s">
        <v>413</v>
      </c>
      <c r="I30" s="90">
        <v>0</v>
      </c>
      <c r="J30" s="90">
        <v>110.54000000000005</v>
      </c>
      <c r="K30" s="90">
        <v>0</v>
      </c>
      <c r="L30" s="90">
        <v>91.490000000000038</v>
      </c>
      <c r="M30" s="90">
        <v>9</v>
      </c>
    </row>
    <row r="31" spans="1:13" x14ac:dyDescent="0.25">
      <c r="A31" s="104" t="s">
        <v>911</v>
      </c>
      <c r="B31" s="98"/>
      <c r="C31" s="30" t="str">
        <f>VLOOKUP(D31,ResCat!$A$2:$B$268,2,FALSE)</f>
        <v>AGDMHC</v>
      </c>
      <c r="D31" s="30" t="str">
        <f>IF(ISNA(VLOOKUP(E31,COA!$A$3:$B$337,2,FALSE)),"XXX",VLOOKUP(E31,COA!$A$3:$B$337,2,FALSE))</f>
        <v>D72</v>
      </c>
      <c r="E31" s="67" t="str">
        <f t="shared" si="0"/>
        <v>000210120005</v>
      </c>
      <c r="F31" s="89" t="s">
        <v>522</v>
      </c>
      <c r="G31" s="89" t="s">
        <v>392</v>
      </c>
      <c r="H31" s="89" t="s">
        <v>452</v>
      </c>
      <c r="I31" s="90">
        <v>0</v>
      </c>
      <c r="J31" s="90">
        <v>178.68000000000004</v>
      </c>
      <c r="K31" s="90">
        <v>0</v>
      </c>
      <c r="L31" s="90">
        <v>142.12</v>
      </c>
      <c r="M31" s="90">
        <v>0</v>
      </c>
    </row>
    <row r="32" spans="1:13" x14ac:dyDescent="0.25">
      <c r="A32" s="50" t="s">
        <v>352</v>
      </c>
      <c r="B32" s="98"/>
      <c r="C32" s="30" t="str">
        <f>VLOOKUP(D32,ResCat!$A$2:$B$268,2,FALSE)</f>
        <v>AGDMHC</v>
      </c>
      <c r="D32" s="30" t="str">
        <f>IF(ISNA(VLOOKUP(E32,COA!$A$3:$B$337,2,FALSE)),"XXX",VLOOKUP(E32,COA!$A$3:$B$337,2,FALSE))</f>
        <v>D76</v>
      </c>
      <c r="E32" s="67" t="str">
        <f t="shared" si="0"/>
        <v>000210140042</v>
      </c>
      <c r="F32" s="89" t="s">
        <v>522</v>
      </c>
      <c r="G32" s="89" t="s">
        <v>401</v>
      </c>
      <c r="H32" s="89" t="s">
        <v>578</v>
      </c>
      <c r="I32" s="90">
        <v>0</v>
      </c>
      <c r="J32" s="90">
        <v>1119.8400000000001</v>
      </c>
      <c r="K32" s="90">
        <v>0</v>
      </c>
      <c r="L32" s="90">
        <v>754.68000000000006</v>
      </c>
      <c r="M32" s="90">
        <v>0</v>
      </c>
    </row>
    <row r="33" spans="1:13" x14ac:dyDescent="0.25">
      <c r="A33" s="50" t="s">
        <v>353</v>
      </c>
      <c r="B33" s="98"/>
      <c r="C33" s="30" t="str">
        <f>VLOOKUP(D33,ResCat!$A$2:$B$268,2,FALSE)</f>
        <v>PPOIFP</v>
      </c>
      <c r="D33" s="30" t="str">
        <f>IF(ISNA(VLOOKUP(E33,COA!$A$3:$B$337,2,FALSE)),"XXX",VLOOKUP(E33,COA!$A$3:$B$337,2,FALSE))</f>
        <v>V52</v>
      </c>
      <c r="E33" s="67" t="str">
        <f t="shared" si="0"/>
        <v>000310010007</v>
      </c>
      <c r="F33" s="89" t="s">
        <v>375</v>
      </c>
      <c r="G33" s="89" t="s">
        <v>338</v>
      </c>
      <c r="H33" s="89" t="s">
        <v>447</v>
      </c>
      <c r="I33" s="90">
        <v>0</v>
      </c>
      <c r="J33" s="90">
        <v>0</v>
      </c>
      <c r="K33" s="90">
        <v>0</v>
      </c>
      <c r="L33" s="90">
        <v>0</v>
      </c>
      <c r="M33" s="90">
        <v>0</v>
      </c>
    </row>
    <row r="34" spans="1:13" x14ac:dyDescent="0.25">
      <c r="A34" s="50" t="s">
        <v>354</v>
      </c>
      <c r="B34" s="98"/>
      <c r="C34" s="30" t="str">
        <f>VLOOKUP(D34,ResCat!$A$2:$B$268,2,FALSE)</f>
        <v>PPOIFP</v>
      </c>
      <c r="D34" s="30" t="str">
        <f>IF(ISNA(VLOOKUP(E34,COA!$A$3:$B$337,2,FALSE)),"XXX",VLOOKUP(E34,COA!$A$3:$B$337,2,FALSE))</f>
        <v>V51</v>
      </c>
      <c r="E34" s="67" t="str">
        <f t="shared" si="0"/>
        <v>000310010012</v>
      </c>
      <c r="F34" s="89" t="s">
        <v>375</v>
      </c>
      <c r="G34" s="89" t="s">
        <v>338</v>
      </c>
      <c r="H34" s="89" t="s">
        <v>376</v>
      </c>
      <c r="I34" s="90">
        <v>3338.8600000000006</v>
      </c>
      <c r="J34" s="90">
        <v>10</v>
      </c>
      <c r="K34" s="90">
        <v>3338.8600000000006</v>
      </c>
      <c r="L34" s="90">
        <v>0</v>
      </c>
      <c r="M34" s="90">
        <v>37</v>
      </c>
    </row>
    <row r="35" spans="1:13" x14ac:dyDescent="0.25">
      <c r="A35" s="50" t="s">
        <v>355</v>
      </c>
      <c r="B35" s="98"/>
      <c r="C35" s="30" t="str">
        <f>VLOOKUP(D35,ResCat!$A$2:$B$268,2,FALSE)</f>
        <v>PPOIFP</v>
      </c>
      <c r="D35" s="30" t="str">
        <f>IF(ISNA(VLOOKUP(E35,COA!$A$3:$B$337,2,FALSE)),"XXX",VLOOKUP(E35,COA!$A$3:$B$337,2,FALSE))</f>
        <v>V53</v>
      </c>
      <c r="E35" s="67" t="str">
        <f t="shared" ref="E35:E66" si="1">F35&amp;G35&amp;H35</f>
        <v>000310010021</v>
      </c>
      <c r="F35" s="89" t="s">
        <v>375</v>
      </c>
      <c r="G35" s="89" t="s">
        <v>338</v>
      </c>
      <c r="H35" s="89" t="s">
        <v>377</v>
      </c>
      <c r="I35" s="90">
        <v>370083.28000000893</v>
      </c>
      <c r="J35" s="90">
        <v>30404.549999999919</v>
      </c>
      <c r="K35" s="90">
        <v>370083.28000000893</v>
      </c>
      <c r="L35" s="90">
        <v>30396.609999999921</v>
      </c>
      <c r="M35" s="90">
        <v>0</v>
      </c>
    </row>
    <row r="36" spans="1:13" x14ac:dyDescent="0.25">
      <c r="A36" s="50" t="s">
        <v>899</v>
      </c>
      <c r="B36" s="98"/>
      <c r="C36" s="30" t="str">
        <f>VLOOKUP(D36,ResCat!$A$2:$B$268,2,FALSE)</f>
        <v>PPOIFP</v>
      </c>
      <c r="D36" s="30" t="str">
        <f>IF(ISNA(VLOOKUP(E36,COA!$A$3:$B$337,2,FALSE)),"XXX",VLOOKUP(E36,COA!$A$3:$B$337,2,FALSE))</f>
        <v>V54</v>
      </c>
      <c r="E36" s="67" t="str">
        <f t="shared" si="1"/>
        <v>000310010022</v>
      </c>
      <c r="F36" s="89" t="s">
        <v>375</v>
      </c>
      <c r="G36" s="89" t="s">
        <v>338</v>
      </c>
      <c r="H36" s="89" t="s">
        <v>378</v>
      </c>
      <c r="I36" s="90">
        <v>166639.37999999968</v>
      </c>
      <c r="J36" s="90">
        <v>53558.119999999952</v>
      </c>
      <c r="K36" s="90">
        <v>166639.37999999968</v>
      </c>
      <c r="L36" s="90">
        <v>45783.709999999963</v>
      </c>
      <c r="M36" s="90">
        <v>410.13</v>
      </c>
    </row>
    <row r="37" spans="1:13" x14ac:dyDescent="0.25">
      <c r="A37" s="50" t="s">
        <v>900</v>
      </c>
      <c r="B37" s="98"/>
      <c r="C37" s="30" t="str">
        <f>VLOOKUP(D37,ResCat!$A$2:$B$268,2,FALSE)</f>
        <v>PPOIFP</v>
      </c>
      <c r="D37" s="30" t="str">
        <f>IF(ISNA(VLOOKUP(E37,COA!$A$3:$B$337,2,FALSE)),"XXX",VLOOKUP(E37,COA!$A$3:$B$337,2,FALSE))</f>
        <v>V55</v>
      </c>
      <c r="E37" s="67" t="str">
        <f t="shared" si="1"/>
        <v>000310010065</v>
      </c>
      <c r="F37" s="89" t="s">
        <v>375</v>
      </c>
      <c r="G37" s="89" t="s">
        <v>338</v>
      </c>
      <c r="H37" s="89" t="s">
        <v>379</v>
      </c>
      <c r="I37" s="90">
        <v>179840.79999999978</v>
      </c>
      <c r="J37" s="90">
        <v>59190.519999999866</v>
      </c>
      <c r="K37" s="90">
        <v>179840.79999999978</v>
      </c>
      <c r="L37" s="90">
        <v>52261.899999999878</v>
      </c>
      <c r="M37" s="90">
        <v>161.44999999999999</v>
      </c>
    </row>
    <row r="38" spans="1:13" x14ac:dyDescent="0.25">
      <c r="A38" s="50" t="s">
        <v>901</v>
      </c>
      <c r="B38" s="98"/>
      <c r="C38" s="30" t="str">
        <f>VLOOKUP(D38,ResCat!$A$2:$B$268,2,FALSE)</f>
        <v>PPOPMR</v>
      </c>
      <c r="D38" s="30" t="str">
        <f>IF(ISNA(VLOOKUP(E38,COA!$A$3:$B$337,2,FALSE)),"XXX",VLOOKUP(E38,COA!$A$3:$B$337,2,FALSE))</f>
        <v>F61</v>
      </c>
      <c r="E38" s="67" t="str">
        <f t="shared" si="1"/>
        <v>000310020012</v>
      </c>
      <c r="F38" s="89" t="s">
        <v>375</v>
      </c>
      <c r="G38" s="89" t="s">
        <v>380</v>
      </c>
      <c r="H38" s="89" t="s">
        <v>376</v>
      </c>
      <c r="I38" s="90">
        <v>961</v>
      </c>
      <c r="J38" s="90">
        <v>0</v>
      </c>
      <c r="K38" s="90">
        <v>773</v>
      </c>
      <c r="L38" s="90">
        <v>0</v>
      </c>
      <c r="M38" s="90">
        <v>77</v>
      </c>
    </row>
    <row r="39" spans="1:13" x14ac:dyDescent="0.25">
      <c r="A39" s="50" t="s">
        <v>902</v>
      </c>
      <c r="B39" s="98"/>
      <c r="C39" s="30" t="str">
        <f>VLOOKUP(D39,ResCat!$A$2:$B$268,2,FALSE)</f>
        <v>PPOPMR</v>
      </c>
      <c r="D39" s="30" t="str">
        <f>IF(ISNA(VLOOKUP(E39,COA!$A$3:$B$337,2,FALSE)),"XXX",VLOOKUP(E39,COA!$A$3:$B$337,2,FALSE))</f>
        <v>N61</v>
      </c>
      <c r="E39" s="67" t="str">
        <f t="shared" si="1"/>
        <v>000310030012</v>
      </c>
      <c r="F39" s="89" t="s">
        <v>375</v>
      </c>
      <c r="G39" s="89" t="s">
        <v>381</v>
      </c>
      <c r="H39" s="89" t="s">
        <v>376</v>
      </c>
      <c r="I39" s="90">
        <v>6057.49</v>
      </c>
      <c r="J39" s="90">
        <v>0</v>
      </c>
      <c r="K39" s="90">
        <v>3327.4900000000002</v>
      </c>
      <c r="L39" s="90">
        <v>479.9</v>
      </c>
      <c r="M39" s="90">
        <v>9</v>
      </c>
    </row>
    <row r="40" spans="1:13" x14ac:dyDescent="0.25">
      <c r="A40" s="50" t="s">
        <v>5</v>
      </c>
      <c r="B40" s="98"/>
      <c r="C40" s="30" t="str">
        <f>VLOOKUP(D40,ResCat!$A$2:$B$268,2,FALSE)</f>
        <v>PPOLG</v>
      </c>
      <c r="D40" s="30" t="str">
        <f>IF(ISNA(VLOOKUP(E40,COA!$A$3:$B$337,2,FALSE)),"XXX",VLOOKUP(E40,COA!$A$3:$B$337,2,FALSE))</f>
        <v>L51</v>
      </c>
      <c r="E40" s="67" t="str">
        <f t="shared" si="1"/>
        <v>000310040012</v>
      </c>
      <c r="F40" s="89" t="s">
        <v>375</v>
      </c>
      <c r="G40" s="89" t="s">
        <v>382</v>
      </c>
      <c r="H40" s="89" t="s">
        <v>376</v>
      </c>
      <c r="I40" s="90">
        <v>32492.279999999992</v>
      </c>
      <c r="J40" s="90">
        <v>2015.9899999999996</v>
      </c>
      <c r="K40" s="90">
        <v>31917.409999999989</v>
      </c>
      <c r="L40" s="90">
        <v>3112.1600000000012</v>
      </c>
      <c r="M40" s="90">
        <v>1993.7</v>
      </c>
    </row>
    <row r="41" spans="1:13" x14ac:dyDescent="0.25">
      <c r="A41" s="51" t="s">
        <v>949</v>
      </c>
      <c r="B41" s="98"/>
      <c r="C41" s="30" t="str">
        <f>VLOOKUP(D41,ResCat!$A$2:$B$268,2,FALSE)</f>
        <v>PPOLG</v>
      </c>
      <c r="D41" s="30" t="str">
        <f>IF(ISNA(VLOOKUP(E41,COA!$A$3:$B$337,2,FALSE)),"XXX",VLOOKUP(E41,COA!$A$3:$B$337,2,FALSE))</f>
        <v>L57</v>
      </c>
      <c r="E41" s="67" t="str">
        <f t="shared" si="1"/>
        <v>000310040047</v>
      </c>
      <c r="F41" s="89" t="s">
        <v>375</v>
      </c>
      <c r="G41" s="89" t="s">
        <v>382</v>
      </c>
      <c r="H41" s="89" t="s">
        <v>383</v>
      </c>
      <c r="I41" s="90">
        <v>2228.1999999999998</v>
      </c>
      <c r="J41" s="90">
        <v>683</v>
      </c>
      <c r="K41" s="90">
        <v>2228.1999999999998</v>
      </c>
      <c r="L41" s="90">
        <v>711.2</v>
      </c>
      <c r="M41" s="90">
        <v>181.55</v>
      </c>
    </row>
    <row r="42" spans="1:13" x14ac:dyDescent="0.25">
      <c r="A42" s="94" t="s">
        <v>912</v>
      </c>
      <c r="B42" s="93" t="s">
        <v>913</v>
      </c>
      <c r="C42" s="30" t="str">
        <f>VLOOKUP(D42,ResCat!$A$2:$B$268,2,FALSE)</f>
        <v>PPOLG</v>
      </c>
      <c r="D42" s="30" t="str">
        <f>IF(ISNA(VLOOKUP(E42,COA!$A$3:$B$337,2,FALSE)),"XXX",VLOOKUP(E42,COA!$A$3:$B$337,2,FALSE))</f>
        <v>N51</v>
      </c>
      <c r="E42" s="67" t="str">
        <f t="shared" si="1"/>
        <v>000310050012</v>
      </c>
      <c r="F42" s="89" t="s">
        <v>375</v>
      </c>
      <c r="G42" s="89" t="s">
        <v>385</v>
      </c>
      <c r="H42" s="89" t="s">
        <v>376</v>
      </c>
      <c r="I42" s="90">
        <v>112772.96000000247</v>
      </c>
      <c r="J42" s="90">
        <v>1807.7299999999993</v>
      </c>
      <c r="K42" s="90">
        <v>112186.96000000245</v>
      </c>
      <c r="L42" s="90">
        <v>7662.489999999998</v>
      </c>
      <c r="M42" s="90">
        <v>2111.13</v>
      </c>
    </row>
    <row r="43" spans="1:13" x14ac:dyDescent="0.25">
      <c r="A43" s="94" t="s">
        <v>914</v>
      </c>
      <c r="B43" s="98"/>
      <c r="C43" s="30" t="str">
        <f>VLOOKUP(D43,ResCat!$A$2:$B$268,2,FALSE)</f>
        <v>XXX</v>
      </c>
      <c r="D43" s="30" t="str">
        <f>IF(ISNA(VLOOKUP(E43,COA!$A$3:$B$337,2,FALSE)),"XXX",VLOOKUP(E43,COA!$A$3:$B$337,2,FALSE))</f>
        <v>XXX</v>
      </c>
      <c r="E43" s="67" t="str">
        <f t="shared" si="1"/>
        <v>000310050017</v>
      </c>
      <c r="F43" s="89" t="s">
        <v>375</v>
      </c>
      <c r="G43" s="89" t="s">
        <v>385</v>
      </c>
      <c r="H43" s="89" t="s">
        <v>390</v>
      </c>
      <c r="I43" s="90">
        <v>0.60000000000000031</v>
      </c>
      <c r="J43" s="90">
        <v>0.09</v>
      </c>
      <c r="K43" s="90">
        <v>0.60000000000000031</v>
      </c>
      <c r="L43" s="90">
        <v>0.09</v>
      </c>
      <c r="M43" s="90">
        <v>0</v>
      </c>
    </row>
    <row r="44" spans="1:13" x14ac:dyDescent="0.25">
      <c r="A44" s="94" t="s">
        <v>915</v>
      </c>
      <c r="B44" s="98"/>
      <c r="C44" s="30" t="str">
        <f>VLOOKUP(D44,ResCat!$A$2:$B$268,2,FALSE)</f>
        <v>PPOLG</v>
      </c>
      <c r="D44" s="30" t="str">
        <f>IF(ISNA(VLOOKUP(E44,COA!$A$3:$B$337,2,FALSE)),"XXX",VLOOKUP(E44,COA!$A$3:$B$337,2,FALSE))</f>
        <v>L52</v>
      </c>
      <c r="E44" s="67" t="str">
        <f t="shared" si="1"/>
        <v>000310060012</v>
      </c>
      <c r="F44" s="89" t="s">
        <v>375</v>
      </c>
      <c r="G44" s="89" t="s">
        <v>386</v>
      </c>
      <c r="H44" s="89" t="s">
        <v>376</v>
      </c>
      <c r="I44" s="90">
        <v>47121.959999999941</v>
      </c>
      <c r="J44" s="90">
        <v>2162.3699999999985</v>
      </c>
      <c r="K44" s="90">
        <v>47121.959999999941</v>
      </c>
      <c r="L44" s="90">
        <v>4033.8700000000049</v>
      </c>
      <c r="M44" s="90">
        <v>4209.2299999999996</v>
      </c>
    </row>
    <row r="45" spans="1:13" x14ac:dyDescent="0.25">
      <c r="A45" s="94" t="s">
        <v>898</v>
      </c>
      <c r="B45" s="98"/>
      <c r="C45" s="30" t="str">
        <f>VLOOKUP(D45,ResCat!$A$2:$B$268,2,FALSE)</f>
        <v>PPOMM</v>
      </c>
      <c r="D45" s="30" t="str">
        <f>IF(ISNA(VLOOKUP(E45,COA!$A$3:$B$337,2,FALSE)),"XXX",VLOOKUP(E45,COA!$A$3:$B$337,2,FALSE))</f>
        <v>V91</v>
      </c>
      <c r="E45" s="67" t="str">
        <f t="shared" si="1"/>
        <v>000310090011</v>
      </c>
      <c r="F45" s="89" t="s">
        <v>375</v>
      </c>
      <c r="G45" s="89" t="s">
        <v>335</v>
      </c>
      <c r="H45" s="89" t="s">
        <v>387</v>
      </c>
      <c r="I45" s="90">
        <v>173657.40000000002</v>
      </c>
      <c r="J45" s="90">
        <v>13900.450000000004</v>
      </c>
      <c r="K45" s="90">
        <v>184.32</v>
      </c>
      <c r="L45" s="90">
        <v>6901.7300000000005</v>
      </c>
      <c r="M45" s="90">
        <v>0</v>
      </c>
    </row>
    <row r="46" spans="1:13" x14ac:dyDescent="0.25">
      <c r="A46" s="94" t="s">
        <v>916</v>
      </c>
      <c r="B46" s="98"/>
      <c r="C46" s="30" t="str">
        <f>VLOOKUP(D46,ResCat!$A$2:$B$268,2,FALSE)</f>
        <v>XXX</v>
      </c>
      <c r="D46" s="30" t="str">
        <f>IF(ISNA(VLOOKUP(E46,COA!$A$3:$B$337,2,FALSE)),"XXX",VLOOKUP(E46,COA!$A$3:$B$337,2,FALSE))</f>
        <v>XXX</v>
      </c>
      <c r="E46" s="67" t="str">
        <f t="shared" si="1"/>
        <v>000310090023</v>
      </c>
      <c r="F46" s="89" t="s">
        <v>375</v>
      </c>
      <c r="G46" s="89" t="s">
        <v>335</v>
      </c>
      <c r="H46" s="89" t="s">
        <v>388</v>
      </c>
      <c r="I46" s="90">
        <v>5</v>
      </c>
      <c r="J46" s="90">
        <v>2</v>
      </c>
      <c r="K46" s="90">
        <v>5</v>
      </c>
      <c r="L46" s="90">
        <v>2</v>
      </c>
      <c r="M46" s="90">
        <v>0</v>
      </c>
    </row>
    <row r="47" spans="1:13" x14ac:dyDescent="0.25">
      <c r="A47" s="94" t="s">
        <v>917</v>
      </c>
      <c r="B47" s="98"/>
      <c r="C47" s="30" t="str">
        <f>VLOOKUP(D47,ResCat!$A$2:$B$268,2,FALSE)</f>
        <v>PPOSG</v>
      </c>
      <c r="D47" s="30" t="str">
        <f>IF(ISNA(VLOOKUP(E47,COA!$A$3:$B$337,2,FALSE)),"XXX",VLOOKUP(E47,COA!$A$3:$B$337,2,FALSE))</f>
        <v>S51</v>
      </c>
      <c r="E47" s="67" t="str">
        <f t="shared" si="1"/>
        <v>000310100017</v>
      </c>
      <c r="F47" s="89" t="s">
        <v>375</v>
      </c>
      <c r="G47" s="89" t="s">
        <v>389</v>
      </c>
      <c r="H47" s="89" t="s">
        <v>390</v>
      </c>
      <c r="I47" s="90">
        <v>394037.54000000056</v>
      </c>
      <c r="J47" s="90">
        <v>116789.40999999989</v>
      </c>
      <c r="K47" s="90">
        <v>394037.54000000056</v>
      </c>
      <c r="L47" s="90">
        <v>112699.49999999993</v>
      </c>
      <c r="M47" s="90">
        <v>15017.389999999998</v>
      </c>
    </row>
    <row r="48" spans="1:13" x14ac:dyDescent="0.25">
      <c r="A48" s="94" t="s">
        <v>918</v>
      </c>
      <c r="B48" s="98"/>
      <c r="C48" s="30" t="str">
        <f>VLOOKUP(D48,ResCat!$A$2:$B$268,2,FALSE)</f>
        <v>PPOSG</v>
      </c>
      <c r="D48" s="30" t="str">
        <f>IF(ISNA(VLOOKUP(E48,COA!$A$3:$B$337,2,FALSE)),"XXX",VLOOKUP(E48,COA!$A$3:$B$337,2,FALSE))</f>
        <v>S54</v>
      </c>
      <c r="E48" s="67" t="str">
        <f t="shared" si="1"/>
        <v>000310100023</v>
      </c>
      <c r="F48" s="89" t="s">
        <v>375</v>
      </c>
      <c r="G48" s="89" t="s">
        <v>389</v>
      </c>
      <c r="H48" s="89" t="s">
        <v>388</v>
      </c>
      <c r="I48" s="90">
        <v>7583.55</v>
      </c>
      <c r="J48" s="90">
        <v>1745.39</v>
      </c>
      <c r="K48" s="90">
        <v>7583.55</v>
      </c>
      <c r="L48" s="90">
        <v>1747.39</v>
      </c>
      <c r="M48" s="90">
        <v>0</v>
      </c>
    </row>
    <row r="49" spans="1:13" x14ac:dyDescent="0.25">
      <c r="A49" s="94" t="s">
        <v>919</v>
      </c>
      <c r="B49" s="98"/>
      <c r="C49" s="30" t="str">
        <f>VLOOKUP(D49,ResCat!$A$2:$B$268,2,FALSE)</f>
        <v>PPOSG</v>
      </c>
      <c r="D49" s="30" t="str">
        <f>IF(ISNA(VLOOKUP(E49,COA!$A$3:$B$337,2,FALSE)),"XXX",VLOOKUP(E49,COA!$A$3:$B$337,2,FALSE))</f>
        <v>S56</v>
      </c>
      <c r="E49" s="67" t="str">
        <f t="shared" si="1"/>
        <v>000310100024</v>
      </c>
      <c r="F49" s="89" t="s">
        <v>375</v>
      </c>
      <c r="G49" s="89" t="s">
        <v>389</v>
      </c>
      <c r="H49" s="89" t="s">
        <v>391</v>
      </c>
      <c r="I49" s="90">
        <v>3055.4899999999993</v>
      </c>
      <c r="J49" s="90">
        <v>939.5</v>
      </c>
      <c r="K49" s="90">
        <v>3055.4899999999993</v>
      </c>
      <c r="L49" s="90">
        <v>818.5</v>
      </c>
      <c r="M49" s="90">
        <v>23</v>
      </c>
    </row>
    <row r="50" spans="1:13" x14ac:dyDescent="0.25">
      <c r="A50" s="94" t="s">
        <v>920</v>
      </c>
      <c r="B50" s="98"/>
      <c r="C50" s="30" t="str">
        <f>VLOOKUP(D50,ResCat!$A$2:$B$268,2,FALSE)</f>
        <v>PPOPMR</v>
      </c>
      <c r="D50" s="30" t="str">
        <f>IF(ISNA(VLOOKUP(E50,COA!$A$3:$B$337,2,FALSE)),"XXX",VLOOKUP(E50,COA!$A$3:$B$337,2,FALSE))</f>
        <v>K51</v>
      </c>
      <c r="E50" s="67" t="str">
        <f t="shared" si="1"/>
        <v>000310120012</v>
      </c>
      <c r="F50" s="89" t="s">
        <v>375</v>
      </c>
      <c r="G50" s="89" t="s">
        <v>392</v>
      </c>
      <c r="H50" s="89" t="s">
        <v>376</v>
      </c>
      <c r="I50" s="90">
        <v>8560.0300000000025</v>
      </c>
      <c r="J50" s="90">
        <v>90.53</v>
      </c>
      <c r="K50" s="90">
        <v>5590.06</v>
      </c>
      <c r="L50" s="90">
        <v>92.53</v>
      </c>
      <c r="M50" s="90">
        <v>3</v>
      </c>
    </row>
    <row r="51" spans="1:13" x14ac:dyDescent="0.25">
      <c r="A51" s="50" t="s">
        <v>356</v>
      </c>
      <c r="B51" s="98"/>
      <c r="C51" s="30" t="str">
        <f>VLOOKUP(D51,ResCat!$A$2:$B$268,2,FALSE)</f>
        <v>HMFLEX</v>
      </c>
      <c r="D51" s="30" t="str">
        <f>IF(ISNA(VLOOKUP(E51,COA!$A$3:$B$337,2,FALSE)),"XXX",VLOOKUP(E51,COA!$A$3:$B$337,2,FALSE))</f>
        <v>K56</v>
      </c>
      <c r="E51" s="67" t="str">
        <f t="shared" si="1"/>
        <v>000310120048</v>
      </c>
      <c r="F51" s="89" t="s">
        <v>375</v>
      </c>
      <c r="G51" s="89" t="s">
        <v>392</v>
      </c>
      <c r="H51" s="89" t="s">
        <v>394</v>
      </c>
      <c r="I51" s="90">
        <v>0</v>
      </c>
      <c r="J51" s="90">
        <v>0</v>
      </c>
      <c r="K51" s="90">
        <v>0</v>
      </c>
      <c r="L51" s="90">
        <v>0</v>
      </c>
      <c r="M51" s="90">
        <v>0</v>
      </c>
    </row>
    <row r="52" spans="1:13" x14ac:dyDescent="0.25">
      <c r="A52" s="50" t="s">
        <v>8</v>
      </c>
      <c r="B52" s="98"/>
      <c r="C52" s="30" t="str">
        <f>VLOOKUP(D52,ResCat!$A$2:$B$268,2,FALSE)</f>
        <v>PPOPMR</v>
      </c>
      <c r="D52" s="30" t="str">
        <f>IF(ISNA(VLOOKUP(E52,COA!$A$3:$B$337,2,FALSE)),"XXX",VLOOKUP(E52,COA!$A$3:$B$337,2,FALSE))</f>
        <v>N55</v>
      </c>
      <c r="E52" s="67" t="str">
        <f t="shared" si="1"/>
        <v>000310130012</v>
      </c>
      <c r="F52" s="89" t="s">
        <v>375</v>
      </c>
      <c r="G52" s="89" t="s">
        <v>393</v>
      </c>
      <c r="H52" s="89" t="s">
        <v>376</v>
      </c>
      <c r="I52" s="90">
        <v>17796.090000000004</v>
      </c>
      <c r="J52" s="90">
        <v>2322.54</v>
      </c>
      <c r="K52" s="90">
        <v>15323.060000000003</v>
      </c>
      <c r="L52" s="90">
        <v>5</v>
      </c>
      <c r="M52" s="90">
        <v>0</v>
      </c>
    </row>
    <row r="53" spans="1:13" x14ac:dyDescent="0.25">
      <c r="A53" s="50" t="s">
        <v>364</v>
      </c>
      <c r="B53" s="98"/>
      <c r="C53" s="30" t="str">
        <f>VLOOKUP(D53,ResCat!$A$2:$B$268,2,FALSE)</f>
        <v>PPOPMR</v>
      </c>
      <c r="D53" s="30" t="str">
        <f>IF(ISNA(VLOOKUP(E53,COA!$A$3:$B$337,2,FALSE)),"XXX",VLOOKUP(E53,COA!$A$3:$B$337,2,FALSE))</f>
        <v>N57</v>
      </c>
      <c r="E53" s="67" t="str">
        <f t="shared" si="1"/>
        <v>000310130047</v>
      </c>
      <c r="F53" s="89" t="s">
        <v>375</v>
      </c>
      <c r="G53" s="89" t="s">
        <v>393</v>
      </c>
      <c r="H53" s="89" t="s">
        <v>383</v>
      </c>
      <c r="I53" s="90">
        <v>0</v>
      </c>
      <c r="J53" s="90">
        <v>0</v>
      </c>
      <c r="K53" s="90">
        <v>0</v>
      </c>
      <c r="L53" s="90">
        <v>0</v>
      </c>
      <c r="M53" s="90">
        <v>0</v>
      </c>
    </row>
    <row r="54" spans="1:13" x14ac:dyDescent="0.25">
      <c r="A54" s="50" t="s">
        <v>365</v>
      </c>
      <c r="B54" s="98"/>
      <c r="C54" s="30" t="str">
        <f>VLOOKUP(D54,ResCat!$A$2:$B$268,2,FALSE)</f>
        <v>HMFLEX</v>
      </c>
      <c r="D54" s="30" t="str">
        <f>IF(ISNA(VLOOKUP(E54,COA!$A$3:$B$337,2,FALSE)),"XXX",VLOOKUP(E54,COA!$A$3:$B$337,2,FALSE))</f>
        <v>N56</v>
      </c>
      <c r="E54" s="67" t="str">
        <f t="shared" si="1"/>
        <v>000310130048</v>
      </c>
      <c r="F54" s="89" t="s">
        <v>375</v>
      </c>
      <c r="G54" s="89" t="s">
        <v>393</v>
      </c>
      <c r="H54" s="89" t="s">
        <v>394</v>
      </c>
      <c r="I54" s="90">
        <v>67116.439999999653</v>
      </c>
      <c r="J54" s="90">
        <v>0</v>
      </c>
      <c r="K54" s="90">
        <v>67116.439999999653</v>
      </c>
      <c r="L54" s="90">
        <v>0</v>
      </c>
      <c r="M54" s="90">
        <v>0</v>
      </c>
    </row>
    <row r="55" spans="1:13" x14ac:dyDescent="0.25">
      <c r="A55" s="50" t="s">
        <v>366</v>
      </c>
      <c r="B55" s="98"/>
      <c r="C55" s="30" t="str">
        <f>VLOOKUP(D55,ResCat!$A$2:$B$268,2,FALSE)</f>
        <v>PPOPMR</v>
      </c>
      <c r="D55" s="30" t="str">
        <f>IF(ISNA(VLOOKUP(E55,COA!$A$3:$B$337,2,FALSE)),"XXX",VLOOKUP(E55,COA!$A$3:$B$337,2,FALSE))</f>
        <v>N55</v>
      </c>
      <c r="E55" s="67" t="str">
        <f t="shared" si="1"/>
        <v>000310130057</v>
      </c>
      <c r="F55" s="89" t="s">
        <v>375</v>
      </c>
      <c r="G55" s="89" t="s">
        <v>393</v>
      </c>
      <c r="H55" s="89" t="s">
        <v>384</v>
      </c>
      <c r="I55" s="90">
        <v>22</v>
      </c>
      <c r="J55" s="90">
        <v>0</v>
      </c>
      <c r="K55" s="90">
        <v>22</v>
      </c>
      <c r="L55" s="90">
        <v>0</v>
      </c>
      <c r="M55" s="90">
        <v>0</v>
      </c>
    </row>
    <row r="56" spans="1:13" x14ac:dyDescent="0.25">
      <c r="A56" s="50" t="s">
        <v>6</v>
      </c>
      <c r="B56" s="98"/>
      <c r="C56" s="30" t="str">
        <f>VLOOKUP(D56,ResCat!$A$2:$B$268,2,FALSE)</f>
        <v>AGDMHC</v>
      </c>
      <c r="D56" s="30" t="str">
        <f>IF(ISNA(VLOOKUP(E56,COA!$A$3:$B$337,2,FALSE)),"XXX",VLOOKUP(E56,COA!$A$3:$B$337,2,FALSE))</f>
        <v>E61</v>
      </c>
      <c r="E56" s="67" t="str">
        <f t="shared" si="1"/>
        <v>000410010025</v>
      </c>
      <c r="F56" s="89" t="s">
        <v>528</v>
      </c>
      <c r="G56" s="89" t="s">
        <v>338</v>
      </c>
      <c r="H56" s="89" t="s">
        <v>409</v>
      </c>
      <c r="I56" s="90">
        <v>0</v>
      </c>
      <c r="J56" s="90">
        <v>0</v>
      </c>
      <c r="K56" s="90">
        <v>0</v>
      </c>
      <c r="L56" s="90">
        <v>36.94</v>
      </c>
      <c r="M56" s="90">
        <v>0</v>
      </c>
    </row>
    <row r="57" spans="1:13" x14ac:dyDescent="0.25">
      <c r="A57" s="50" t="s">
        <v>357</v>
      </c>
      <c r="B57" s="98"/>
      <c r="C57" s="30" t="str">
        <f>VLOOKUP(D57,ResCat!$A$2:$B$268,2,FALSE)</f>
        <v>AGDMHC</v>
      </c>
      <c r="D57" s="30" t="str">
        <f>IF(ISNA(VLOOKUP(E57,COA!$A$3:$B$337,2,FALSE)),"XXX",VLOOKUP(E57,COA!$A$3:$B$337,2,FALSE))</f>
        <v>E65</v>
      </c>
      <c r="E57" s="67" t="str">
        <f t="shared" si="1"/>
        <v>000410100025</v>
      </c>
      <c r="F57" s="89" t="s">
        <v>528</v>
      </c>
      <c r="G57" s="89" t="s">
        <v>389</v>
      </c>
      <c r="H57" s="89" t="s">
        <v>409</v>
      </c>
      <c r="I57" s="90">
        <v>0</v>
      </c>
      <c r="J57" s="90">
        <v>0</v>
      </c>
      <c r="K57" s="90">
        <v>0</v>
      </c>
      <c r="L57" s="90">
        <v>34.06</v>
      </c>
      <c r="M57" s="90">
        <v>0</v>
      </c>
    </row>
    <row r="58" spans="1:13" x14ac:dyDescent="0.25">
      <c r="A58" s="52" t="s">
        <v>7</v>
      </c>
      <c r="B58" s="98"/>
      <c r="C58" s="30" t="str">
        <f>VLOOKUP(D58,ResCat!$A$2:$B$268,2,FALSE)</f>
        <v>XXX</v>
      </c>
      <c r="D58" s="30" t="str">
        <f>IF(ISNA(VLOOKUP(E58,COA!$A$3:$B$337,2,FALSE)),"XXX",VLOOKUP(E58,COA!$A$3:$B$337,2,FALSE))</f>
        <v>C63</v>
      </c>
      <c r="E58" s="67" t="str">
        <f t="shared" si="1"/>
        <v>000610010004</v>
      </c>
      <c r="F58" s="89" t="s">
        <v>491</v>
      </c>
      <c r="G58" s="89" t="s">
        <v>338</v>
      </c>
      <c r="H58" s="89" t="s">
        <v>528</v>
      </c>
      <c r="I58" s="90">
        <v>0</v>
      </c>
      <c r="J58" s="90">
        <v>8161.8000000000011</v>
      </c>
      <c r="K58" s="90">
        <v>0</v>
      </c>
      <c r="L58" s="90">
        <v>6814.8499999999995</v>
      </c>
      <c r="M58" s="90">
        <v>3</v>
      </c>
    </row>
    <row r="59" spans="1:13" x14ac:dyDescent="0.25">
      <c r="C59" s="30" t="str">
        <f>VLOOKUP(D59,ResCat!$A$2:$B$268,2,FALSE)</f>
        <v>XXX</v>
      </c>
      <c r="D59" s="30" t="str">
        <f>IF(ISNA(VLOOKUP(E59,COA!$A$3:$B$337,2,FALSE)),"XXX",VLOOKUP(E59,COA!$A$3:$B$337,2,FALSE))</f>
        <v>C63</v>
      </c>
      <c r="E59" s="67" t="str">
        <f t="shared" si="1"/>
        <v>000610090004</v>
      </c>
      <c r="F59" s="89" t="s">
        <v>491</v>
      </c>
      <c r="G59" s="89" t="s">
        <v>335</v>
      </c>
      <c r="H59" s="89" t="s">
        <v>528</v>
      </c>
      <c r="I59" s="90">
        <v>0</v>
      </c>
      <c r="J59" s="90">
        <v>154</v>
      </c>
      <c r="K59" s="90">
        <v>0</v>
      </c>
      <c r="L59" s="90">
        <v>154</v>
      </c>
      <c r="M59" s="90">
        <v>0</v>
      </c>
    </row>
    <row r="60" spans="1:13" x14ac:dyDescent="0.25">
      <c r="A60" s="95"/>
      <c r="C60" s="30" t="str">
        <f>VLOOKUP(D60,ResCat!$A$2:$B$268,2,FALSE)</f>
        <v>XXX</v>
      </c>
      <c r="D60" s="30" t="str">
        <f>IF(ISNA(VLOOKUP(E60,COA!$A$3:$B$337,2,FALSE)),"XXX",VLOOKUP(E60,COA!$A$3:$B$337,2,FALSE))</f>
        <v>C65</v>
      </c>
      <c r="E60" s="67" t="str">
        <f t="shared" si="1"/>
        <v>000610100005</v>
      </c>
      <c r="F60" s="89" t="s">
        <v>491</v>
      </c>
      <c r="G60" s="89" t="s">
        <v>389</v>
      </c>
      <c r="H60" s="89" t="s">
        <v>452</v>
      </c>
      <c r="I60" s="90">
        <v>0</v>
      </c>
      <c r="J60" s="90">
        <v>1678.6100000000001</v>
      </c>
      <c r="K60" s="90">
        <v>0</v>
      </c>
      <c r="L60" s="90">
        <v>437.05999999999995</v>
      </c>
      <c r="M60" s="90">
        <v>52.61</v>
      </c>
    </row>
    <row r="61" spans="1:13" x14ac:dyDescent="0.25">
      <c r="A61" s="95"/>
      <c r="C61" s="30" t="str">
        <f>VLOOKUP(D61,ResCat!$A$2:$B$268,2,FALSE)</f>
        <v>XXX</v>
      </c>
      <c r="D61" s="30" t="str">
        <f>IF(ISNA(VLOOKUP(E61,COA!$A$3:$B$337,2,FALSE)),"XXX",VLOOKUP(E61,COA!$A$3:$B$337,2,FALSE))</f>
        <v>C43</v>
      </c>
      <c r="E61" s="67" t="str">
        <f t="shared" si="1"/>
        <v>000710010006</v>
      </c>
      <c r="F61" s="89" t="s">
        <v>447</v>
      </c>
      <c r="G61" s="89" t="s">
        <v>338</v>
      </c>
      <c r="H61" s="89" t="s">
        <v>491</v>
      </c>
      <c r="I61" s="90">
        <v>0</v>
      </c>
      <c r="J61" s="90">
        <v>0</v>
      </c>
      <c r="K61" s="90">
        <v>0</v>
      </c>
      <c r="L61" s="90">
        <v>0</v>
      </c>
      <c r="M61" s="90">
        <v>582.45000000000005</v>
      </c>
    </row>
    <row r="62" spans="1:13" x14ac:dyDescent="0.25">
      <c r="A62" s="95"/>
      <c r="C62" s="30" t="str">
        <f>VLOOKUP(D62,ResCat!$A$2:$B$268,2,FALSE)</f>
        <v>XXX</v>
      </c>
      <c r="D62" s="30" t="str">
        <f>IF(ISNA(VLOOKUP(E62,COA!$A$3:$B$337,2,FALSE)),"XXX",VLOOKUP(E62,COA!$A$3:$B$337,2,FALSE))</f>
        <v>C41</v>
      </c>
      <c r="E62" s="67" t="str">
        <f t="shared" si="1"/>
        <v>000710020008</v>
      </c>
      <c r="F62" s="89" t="s">
        <v>447</v>
      </c>
      <c r="G62" s="89" t="s">
        <v>380</v>
      </c>
      <c r="H62" s="89" t="s">
        <v>395</v>
      </c>
      <c r="I62" s="90">
        <v>0</v>
      </c>
      <c r="J62" s="90">
        <v>0</v>
      </c>
      <c r="K62" s="90">
        <v>0</v>
      </c>
      <c r="L62" s="90">
        <v>0</v>
      </c>
      <c r="M62" s="90">
        <v>150</v>
      </c>
    </row>
    <row r="63" spans="1:13" x14ac:dyDescent="0.25">
      <c r="C63" s="30" t="str">
        <f>VLOOKUP(D63,ResCat!$A$2:$B$268,2,FALSE)</f>
        <v>XXX</v>
      </c>
      <c r="D63" s="30" t="str">
        <f>IF(ISNA(VLOOKUP(E63,COA!$A$3:$B$337,2,FALSE)),"XXX",VLOOKUP(E63,COA!$A$3:$B$337,2,FALSE))</f>
        <v>C41</v>
      </c>
      <c r="E63" s="67" t="str">
        <f t="shared" si="1"/>
        <v>000710030008</v>
      </c>
      <c r="F63" s="89" t="s">
        <v>447</v>
      </c>
      <c r="G63" s="89" t="s">
        <v>381</v>
      </c>
      <c r="H63" s="89" t="s">
        <v>395</v>
      </c>
      <c r="I63" s="90">
        <v>0</v>
      </c>
      <c r="J63" s="90">
        <v>0</v>
      </c>
      <c r="K63" s="90">
        <v>0</v>
      </c>
      <c r="L63" s="90">
        <v>0</v>
      </c>
      <c r="M63" s="90">
        <v>22</v>
      </c>
    </row>
    <row r="64" spans="1:13" x14ac:dyDescent="0.25">
      <c r="A64" s="96"/>
      <c r="C64" s="30" t="str">
        <f>VLOOKUP(D64,ResCat!$A$2:$B$268,2,FALSE)</f>
        <v>XXX</v>
      </c>
      <c r="D64" s="30" t="str">
        <f>IF(ISNA(VLOOKUP(E64,COA!$A$3:$B$337,2,FALSE)),"XXX",VLOOKUP(E64,COA!$A$3:$B$337,2,FALSE))</f>
        <v>C41</v>
      </c>
      <c r="E64" s="67" t="str">
        <f t="shared" si="1"/>
        <v>000710040008</v>
      </c>
      <c r="F64" s="89" t="s">
        <v>447</v>
      </c>
      <c r="G64" s="89" t="s">
        <v>382</v>
      </c>
      <c r="H64" s="89" t="s">
        <v>395</v>
      </c>
      <c r="I64" s="90">
        <v>0</v>
      </c>
      <c r="J64" s="90">
        <v>0</v>
      </c>
      <c r="K64" s="90">
        <v>0</v>
      </c>
      <c r="L64" s="90">
        <v>0</v>
      </c>
      <c r="M64" s="90">
        <v>1462.13</v>
      </c>
    </row>
    <row r="65" spans="1:13" x14ac:dyDescent="0.25">
      <c r="A65" s="95"/>
      <c r="C65" s="30" t="str">
        <f>VLOOKUP(D65,ResCat!$A$2:$B$268,2,FALSE)</f>
        <v>XXX</v>
      </c>
      <c r="D65" s="30" t="str">
        <f>IF(ISNA(VLOOKUP(E65,COA!$A$3:$B$337,2,FALSE)),"XXX",VLOOKUP(E65,COA!$A$3:$B$337,2,FALSE))</f>
        <v>C41</v>
      </c>
      <c r="E65" s="67" t="str">
        <f t="shared" si="1"/>
        <v>000710050008</v>
      </c>
      <c r="F65" s="89" t="s">
        <v>447</v>
      </c>
      <c r="G65" s="89" t="s">
        <v>385</v>
      </c>
      <c r="H65" s="89" t="s">
        <v>395</v>
      </c>
      <c r="I65" s="90">
        <v>0</v>
      </c>
      <c r="J65" s="90">
        <v>0</v>
      </c>
      <c r="K65" s="90">
        <v>0</v>
      </c>
      <c r="L65" s="90">
        <v>0</v>
      </c>
      <c r="M65" s="90">
        <v>1456.6200000000001</v>
      </c>
    </row>
    <row r="66" spans="1:13" x14ac:dyDescent="0.25">
      <c r="A66" s="95"/>
      <c r="C66" s="30" t="str">
        <f>VLOOKUP(D66,ResCat!$A$2:$B$268,2,FALSE)</f>
        <v>XXX</v>
      </c>
      <c r="D66" s="30" t="str">
        <f>IF(ISNA(VLOOKUP(E66,COA!$A$3:$B$337,2,FALSE)),"XXX",VLOOKUP(E66,COA!$A$3:$B$337,2,FALSE))</f>
        <v>C41</v>
      </c>
      <c r="E66" s="67" t="str">
        <f t="shared" si="1"/>
        <v>000710060008</v>
      </c>
      <c r="F66" s="89" t="s">
        <v>447</v>
      </c>
      <c r="G66" s="89" t="s">
        <v>386</v>
      </c>
      <c r="H66" s="89" t="s">
        <v>395</v>
      </c>
      <c r="I66" s="90">
        <v>0</v>
      </c>
      <c r="J66" s="90">
        <v>0</v>
      </c>
      <c r="K66" s="90">
        <v>0</v>
      </c>
      <c r="L66" s="90">
        <v>0</v>
      </c>
      <c r="M66" s="90">
        <v>3861.36</v>
      </c>
    </row>
    <row r="67" spans="1:13" x14ac:dyDescent="0.25">
      <c r="C67" s="30" t="e">
        <f>VLOOKUP(D67,ResCat!$A$2:$B$268,2,FALSE)</f>
        <v>#N/A</v>
      </c>
      <c r="D67" s="30" t="str">
        <f>IF(ISNA(VLOOKUP(E67,COA!$A$3:$B$337,2,FALSE)),"XXX",VLOOKUP(E67,COA!$A$3:$B$337,2,FALSE))</f>
        <v>C31</v>
      </c>
      <c r="E67" s="67" t="str">
        <f t="shared" ref="E67:E83" si="2">F67&amp;G67&amp;H67</f>
        <v>000710100018</v>
      </c>
      <c r="F67" s="89" t="s">
        <v>447</v>
      </c>
      <c r="G67" s="89" t="s">
        <v>389</v>
      </c>
      <c r="H67" s="89" t="s">
        <v>464</v>
      </c>
      <c r="I67" s="90">
        <v>0</v>
      </c>
      <c r="J67" s="90">
        <v>0</v>
      </c>
      <c r="K67" s="90">
        <v>0</v>
      </c>
      <c r="L67" s="90">
        <v>0</v>
      </c>
      <c r="M67" s="90">
        <v>4837.8999999999996</v>
      </c>
    </row>
    <row r="68" spans="1:13" x14ac:dyDescent="0.25">
      <c r="C68" s="30" t="str">
        <f>VLOOKUP(D68,ResCat!$A$2:$B$268,2,FALSE)</f>
        <v>DOIIFP</v>
      </c>
      <c r="D68" s="30" t="str">
        <f>IF(ISNA(VLOOKUP(E68,COA!$A$3:$B$337,2,FALSE)),"XXX",VLOOKUP(E68,COA!$A$3:$B$337,2,FALSE))</f>
        <v>C95</v>
      </c>
      <c r="E68" s="67" t="str">
        <f t="shared" si="2"/>
        <v>000810010012</v>
      </c>
      <c r="F68" s="89" t="s">
        <v>395</v>
      </c>
      <c r="G68" s="89" t="s">
        <v>338</v>
      </c>
      <c r="H68" s="89" t="s">
        <v>376</v>
      </c>
      <c r="I68" s="90">
        <v>27273.03</v>
      </c>
      <c r="J68" s="90">
        <v>2997.87</v>
      </c>
      <c r="K68" s="90">
        <v>27273.03</v>
      </c>
      <c r="L68" s="90">
        <v>2</v>
      </c>
      <c r="M68" s="90">
        <v>480.45</v>
      </c>
    </row>
    <row r="69" spans="1:13" x14ac:dyDescent="0.25">
      <c r="C69" s="30" t="str">
        <f>VLOOKUP(D69,ResCat!$A$2:$B$268,2,FALSE)</f>
        <v>DOILG</v>
      </c>
      <c r="D69" s="30" t="str">
        <f>IF(ISNA(VLOOKUP(E69,COA!$A$3:$B$337,2,FALSE)),"XXX",VLOOKUP(E69,COA!$A$3:$B$337,2,FALSE))</f>
        <v>C93</v>
      </c>
      <c r="E69" s="67" t="str">
        <f t="shared" si="2"/>
        <v>000810040012</v>
      </c>
      <c r="F69" s="89" t="s">
        <v>395</v>
      </c>
      <c r="G69" s="89" t="s">
        <v>382</v>
      </c>
      <c r="H69" s="89" t="s">
        <v>376</v>
      </c>
      <c r="I69" s="90">
        <v>926.51</v>
      </c>
      <c r="J69" s="90">
        <v>41</v>
      </c>
      <c r="K69" s="90">
        <v>926.51</v>
      </c>
      <c r="L69" s="90">
        <v>28</v>
      </c>
      <c r="M69" s="90">
        <v>138.61000000000001</v>
      </c>
    </row>
    <row r="70" spans="1:13" x14ac:dyDescent="0.25">
      <c r="C70" s="30" t="str">
        <f>VLOOKUP(D70,ResCat!$A$2:$B$268,2,FALSE)</f>
        <v>DOILG</v>
      </c>
      <c r="D70" s="30" t="str">
        <f>IF(ISNA(VLOOKUP(E70,COA!$A$3:$B$337,2,FALSE)),"XXX",VLOOKUP(E70,COA!$A$3:$B$337,2,FALSE))</f>
        <v>C73</v>
      </c>
      <c r="E70" s="67" t="str">
        <f t="shared" si="2"/>
        <v>000810050012</v>
      </c>
      <c r="F70" s="89" t="s">
        <v>395</v>
      </c>
      <c r="G70" s="89" t="s">
        <v>385</v>
      </c>
      <c r="H70" s="89" t="s">
        <v>376</v>
      </c>
      <c r="I70" s="90">
        <v>3059.51</v>
      </c>
      <c r="J70" s="90">
        <v>358.26000000000005</v>
      </c>
      <c r="K70" s="90">
        <v>3059.51</v>
      </c>
      <c r="L70" s="90">
        <v>879</v>
      </c>
      <c r="M70" s="90">
        <v>1101</v>
      </c>
    </row>
    <row r="71" spans="1:13" x14ac:dyDescent="0.25">
      <c r="C71" s="30" t="str">
        <f>VLOOKUP(D71,ResCat!$A$2:$B$268,2,FALSE)</f>
        <v>DOILG</v>
      </c>
      <c r="D71" s="30" t="str">
        <f>IF(ISNA(VLOOKUP(E71,COA!$A$3:$B$337,2,FALSE)),"XXX",VLOOKUP(E71,COA!$A$3:$B$337,2,FALSE))</f>
        <v>C96</v>
      </c>
      <c r="E71" s="67" t="str">
        <f t="shared" si="2"/>
        <v>000810060012</v>
      </c>
      <c r="F71" s="89" t="s">
        <v>395</v>
      </c>
      <c r="G71" s="89" t="s">
        <v>386</v>
      </c>
      <c r="H71" s="89" t="s">
        <v>376</v>
      </c>
      <c r="I71" s="90">
        <v>1204.81</v>
      </c>
      <c r="J71" s="90">
        <v>7</v>
      </c>
      <c r="K71" s="90">
        <v>1204.81</v>
      </c>
      <c r="L71" s="90">
        <v>50</v>
      </c>
      <c r="M71" s="90">
        <v>259</v>
      </c>
    </row>
    <row r="72" spans="1:13" x14ac:dyDescent="0.25">
      <c r="C72" s="30" t="str">
        <f>VLOOKUP(D72,ResCat!$A$2:$B$268,2,FALSE)</f>
        <v>DOISG</v>
      </c>
      <c r="D72" s="30" t="str">
        <f>IF(ISNA(VLOOKUP(E72,COA!$A$3:$B$337,2,FALSE)),"XXX",VLOOKUP(E72,COA!$A$3:$B$337,2,FALSE))</f>
        <v>C94</v>
      </c>
      <c r="E72" s="67" t="str">
        <f t="shared" si="2"/>
        <v>000810100017</v>
      </c>
      <c r="F72" s="89" t="s">
        <v>395</v>
      </c>
      <c r="G72" s="89" t="s">
        <v>389</v>
      </c>
      <c r="H72" s="89" t="s">
        <v>390</v>
      </c>
      <c r="I72" s="90">
        <v>0</v>
      </c>
      <c r="J72" s="90">
        <v>32</v>
      </c>
      <c r="K72" s="90">
        <v>0</v>
      </c>
      <c r="L72" s="90">
        <v>10</v>
      </c>
      <c r="M72" s="90">
        <v>313</v>
      </c>
    </row>
    <row r="73" spans="1:13" x14ac:dyDescent="0.25">
      <c r="C73" s="30" t="str">
        <f>VLOOKUP(D73,ResCat!$A$2:$B$268,2,FALSE)</f>
        <v>DOILG</v>
      </c>
      <c r="D73" s="30" t="str">
        <f>IF(ISNA(VLOOKUP(E73,COA!$A$3:$B$337,2,FALSE)),"XXX",VLOOKUP(E73,COA!$A$3:$B$337,2,FALSE))</f>
        <v>C76</v>
      </c>
      <c r="E73" s="67" t="str">
        <f t="shared" si="2"/>
        <v>000810130012</v>
      </c>
      <c r="F73" s="89" t="s">
        <v>395</v>
      </c>
      <c r="G73" s="89" t="s">
        <v>393</v>
      </c>
      <c r="H73" s="89" t="s">
        <v>376</v>
      </c>
      <c r="I73" s="90">
        <v>0</v>
      </c>
      <c r="J73" s="90">
        <v>0</v>
      </c>
      <c r="K73" s="90">
        <v>0</v>
      </c>
      <c r="L73" s="90">
        <v>0</v>
      </c>
      <c r="M73" s="90">
        <v>0</v>
      </c>
    </row>
    <row r="74" spans="1:13" x14ac:dyDescent="0.25">
      <c r="C74" s="30" t="str">
        <f>VLOOKUP(D74,ResCat!$A$2:$B$268,2,FALSE)</f>
        <v>XXX</v>
      </c>
      <c r="D74" s="30" t="str">
        <f>IF(ISNA(VLOOKUP(E74,COA!$A$3:$B$337,2,FALSE)),"XXX",VLOOKUP(E74,COA!$A$3:$B$337,2,FALSE))</f>
        <v>C46</v>
      </c>
      <c r="E74" s="67" t="str">
        <f t="shared" si="2"/>
        <v>000910010014</v>
      </c>
      <c r="F74" s="89" t="s">
        <v>458</v>
      </c>
      <c r="G74" s="89" t="s">
        <v>338</v>
      </c>
      <c r="H74" s="89" t="s">
        <v>460</v>
      </c>
      <c r="I74" s="90">
        <v>0</v>
      </c>
      <c r="J74" s="90">
        <v>0</v>
      </c>
      <c r="K74" s="90">
        <v>0</v>
      </c>
      <c r="L74" s="90">
        <v>4196.3000000000011</v>
      </c>
      <c r="M74" s="90">
        <v>0</v>
      </c>
    </row>
    <row r="75" spans="1:13" x14ac:dyDescent="0.25">
      <c r="C75" s="30" t="str">
        <f>VLOOKUP(D75,ResCat!$A$2:$B$268,2,FALSE)</f>
        <v>XXX</v>
      </c>
      <c r="D75" s="30" t="str">
        <f>IF(ISNA(VLOOKUP(E75,COA!$A$3:$B$337,2,FALSE)),"XXX",VLOOKUP(E75,COA!$A$3:$B$337,2,FALSE))</f>
        <v>C49</v>
      </c>
      <c r="E75" s="67" t="str">
        <f t="shared" si="2"/>
        <v>000910030014</v>
      </c>
      <c r="F75" s="89" t="s">
        <v>458</v>
      </c>
      <c r="G75" s="89" t="s">
        <v>381</v>
      </c>
      <c r="H75" s="89" t="s">
        <v>460</v>
      </c>
      <c r="I75" s="90">
        <v>0</v>
      </c>
      <c r="J75" s="90">
        <v>0</v>
      </c>
      <c r="K75" s="90">
        <v>0</v>
      </c>
      <c r="L75" s="90">
        <v>2</v>
      </c>
      <c r="M75" s="90">
        <v>0</v>
      </c>
    </row>
    <row r="76" spans="1:13" x14ac:dyDescent="0.25">
      <c r="C76" s="30" t="str">
        <f>VLOOKUP(D76,ResCat!$A$2:$B$268,2,FALSE)</f>
        <v>XXX</v>
      </c>
      <c r="D76" s="30" t="str">
        <f>IF(ISNA(VLOOKUP(E76,COA!$A$3:$B$337,2,FALSE)),"XXX",VLOOKUP(E76,COA!$A$3:$B$337,2,FALSE))</f>
        <v>C48</v>
      </c>
      <c r="E76" s="67" t="str">
        <f t="shared" si="2"/>
        <v>000910040014</v>
      </c>
      <c r="F76" s="89" t="s">
        <v>458</v>
      </c>
      <c r="G76" s="89" t="s">
        <v>382</v>
      </c>
      <c r="H76" s="89" t="s">
        <v>460</v>
      </c>
      <c r="I76" s="90">
        <v>0</v>
      </c>
      <c r="J76" s="90">
        <v>0</v>
      </c>
      <c r="K76" s="90">
        <v>0</v>
      </c>
      <c r="L76" s="90">
        <v>5794.4000000000005</v>
      </c>
      <c r="M76" s="90">
        <v>150</v>
      </c>
    </row>
    <row r="77" spans="1:13" x14ac:dyDescent="0.25">
      <c r="C77" s="30" t="str">
        <f>VLOOKUP(D77,ResCat!$A$2:$B$268,2,FALSE)</f>
        <v>XXX</v>
      </c>
      <c r="D77" s="30" t="str">
        <f>IF(ISNA(VLOOKUP(E77,COA!$A$3:$B$337,2,FALSE)),"XXX",VLOOKUP(E77,COA!$A$3:$B$337,2,FALSE))</f>
        <v>C48</v>
      </c>
      <c r="E77" s="67" t="str">
        <f t="shared" si="2"/>
        <v>000910050014</v>
      </c>
      <c r="F77" s="89" t="s">
        <v>458</v>
      </c>
      <c r="G77" s="89" t="s">
        <v>385</v>
      </c>
      <c r="H77" s="89" t="s">
        <v>460</v>
      </c>
      <c r="I77" s="90">
        <v>0</v>
      </c>
      <c r="J77" s="90">
        <v>0</v>
      </c>
      <c r="K77" s="90">
        <v>0</v>
      </c>
      <c r="L77" s="90">
        <v>1101.08</v>
      </c>
      <c r="M77" s="90">
        <v>16</v>
      </c>
    </row>
    <row r="78" spans="1:13" x14ac:dyDescent="0.25">
      <c r="C78" s="30" t="str">
        <f>VLOOKUP(D78,ResCat!$A$2:$B$268,2,FALSE)</f>
        <v>XXX</v>
      </c>
      <c r="D78" s="30" t="str">
        <f>IF(ISNA(VLOOKUP(E78,COA!$A$3:$B$337,2,FALSE)),"XXX",VLOOKUP(E78,COA!$A$3:$B$337,2,FALSE))</f>
        <v>C48</v>
      </c>
      <c r="E78" s="67" t="str">
        <f t="shared" si="2"/>
        <v>000910060014</v>
      </c>
      <c r="F78" s="89" t="s">
        <v>458</v>
      </c>
      <c r="G78" s="89" t="s">
        <v>386</v>
      </c>
      <c r="H78" s="89" t="s">
        <v>460</v>
      </c>
      <c r="I78" s="90">
        <v>0</v>
      </c>
      <c r="J78" s="90">
        <v>0</v>
      </c>
      <c r="K78" s="90">
        <v>0</v>
      </c>
      <c r="L78" s="90">
        <v>5424.7700000000013</v>
      </c>
      <c r="M78" s="90">
        <v>102</v>
      </c>
    </row>
    <row r="79" spans="1:13" x14ac:dyDescent="0.25">
      <c r="C79" s="30" t="str">
        <f>VLOOKUP(D79,ResCat!$A$2:$B$268,2,FALSE)</f>
        <v>XXX</v>
      </c>
      <c r="D79" s="30" t="str">
        <f>IF(ISNA(VLOOKUP(E79,COA!$A$3:$B$337,2,FALSE)),"XXX",VLOOKUP(E79,COA!$A$3:$B$337,2,FALSE))</f>
        <v>C28</v>
      </c>
      <c r="E79" s="67" t="str">
        <f t="shared" si="2"/>
        <v>000910100014</v>
      </c>
      <c r="F79" s="89" t="s">
        <v>458</v>
      </c>
      <c r="G79" s="89" t="s">
        <v>389</v>
      </c>
      <c r="H79" s="89" t="s">
        <v>460</v>
      </c>
      <c r="I79" s="90">
        <v>0</v>
      </c>
      <c r="J79" s="90">
        <v>0</v>
      </c>
      <c r="K79" s="90">
        <v>0</v>
      </c>
      <c r="L79" s="90">
        <v>11001.120000000003</v>
      </c>
      <c r="M79" s="90">
        <v>507</v>
      </c>
    </row>
    <row r="80" spans="1:13" x14ac:dyDescent="0.25">
      <c r="C80" s="30" t="str">
        <f>VLOOKUP(D80,ResCat!$A$2:$B$268,2,FALSE)</f>
        <v>XXX</v>
      </c>
      <c r="D80" s="30" t="str">
        <f>IF(ISNA(VLOOKUP(E80,COA!$A$3:$B$337,2,FALSE)),"XXX",VLOOKUP(E80,COA!$A$3:$B$337,2,FALSE))</f>
        <v>C49</v>
      </c>
      <c r="E80" s="67" t="str">
        <f t="shared" si="2"/>
        <v>000910120014</v>
      </c>
      <c r="F80" s="89" t="s">
        <v>458</v>
      </c>
      <c r="G80" s="89" t="s">
        <v>392</v>
      </c>
      <c r="H80" s="89" t="s">
        <v>460</v>
      </c>
      <c r="I80" s="90">
        <v>0</v>
      </c>
      <c r="J80" s="90">
        <v>0</v>
      </c>
      <c r="K80" s="90">
        <v>0</v>
      </c>
      <c r="L80" s="90">
        <v>59.2</v>
      </c>
      <c r="M80" s="90">
        <v>0</v>
      </c>
    </row>
    <row r="81" spans="3:13" x14ac:dyDescent="0.25">
      <c r="C81" s="30" t="str">
        <f>VLOOKUP(D81,ResCat!$A$2:$B$268,2,FALSE)</f>
        <v>HMOIFP</v>
      </c>
      <c r="D81" s="30" t="str">
        <f>IF(ISNA(VLOOKUP(E81,COA!$A$3:$B$337,2,FALSE)),"XXX",VLOOKUP(E81,COA!$A$3:$B$337,2,FALSE))</f>
        <v>V13</v>
      </c>
      <c r="E81" s="67" t="str">
        <f t="shared" si="2"/>
        <v>001110010021</v>
      </c>
      <c r="F81" s="89" t="s">
        <v>387</v>
      </c>
      <c r="G81" s="89" t="s">
        <v>338</v>
      </c>
      <c r="H81" s="89" t="s">
        <v>377</v>
      </c>
      <c r="I81" s="90">
        <v>58626.689999999842</v>
      </c>
      <c r="J81" s="90">
        <v>3237.7000000000071</v>
      </c>
      <c r="K81" s="90">
        <v>58626.689999999842</v>
      </c>
      <c r="L81" s="90">
        <v>3238.7000000000071</v>
      </c>
      <c r="M81" s="90">
        <v>0</v>
      </c>
    </row>
    <row r="82" spans="3:13" x14ac:dyDescent="0.25">
      <c r="C82" s="30" t="str">
        <f>VLOOKUP(D82,ResCat!$A$2:$B$268,2,FALSE)</f>
        <v>HMOIFP</v>
      </c>
      <c r="D82" s="30" t="str">
        <f>IF(ISNA(VLOOKUP(E82,COA!$A$3:$B$337,2,FALSE)),"XXX",VLOOKUP(E82,COA!$A$3:$B$337,2,FALSE))</f>
        <v>V14</v>
      </c>
      <c r="E82" s="67" t="str">
        <f t="shared" si="2"/>
        <v>001110010022</v>
      </c>
      <c r="F82" s="89" t="s">
        <v>387</v>
      </c>
      <c r="G82" s="89" t="s">
        <v>338</v>
      </c>
      <c r="H82" s="89" t="s">
        <v>378</v>
      </c>
      <c r="I82" s="90">
        <v>12276.860000000006</v>
      </c>
      <c r="J82" s="90">
        <v>4345.9800000000014</v>
      </c>
      <c r="K82" s="90">
        <v>12276.860000000006</v>
      </c>
      <c r="L82" s="90">
        <v>3725.9200000000005</v>
      </c>
      <c r="M82" s="90">
        <v>10</v>
      </c>
    </row>
    <row r="83" spans="3:13" x14ac:dyDescent="0.25">
      <c r="C83" s="30" t="str">
        <f>VLOOKUP(D83,ResCat!$A$2:$B$268,2,FALSE)</f>
        <v>HMOPMR</v>
      </c>
      <c r="D83" s="30" t="str">
        <f>IF(ISNA(VLOOKUP(E83,COA!$A$3:$B$337,2,FALSE)),"XXX",VLOOKUP(E83,COA!$A$3:$B$337,2,FALSE))</f>
        <v>F20</v>
      </c>
      <c r="E83" s="67" t="str">
        <f t="shared" si="2"/>
        <v>001110020012</v>
      </c>
      <c r="F83" s="89" t="s">
        <v>387</v>
      </c>
      <c r="G83" s="89" t="s">
        <v>380</v>
      </c>
      <c r="H83" s="89" t="s">
        <v>376</v>
      </c>
      <c r="I83" s="90">
        <v>55469.77</v>
      </c>
      <c r="J83" s="90">
        <v>0</v>
      </c>
      <c r="K83" s="90">
        <v>54424.77</v>
      </c>
      <c r="L83" s="90">
        <v>7</v>
      </c>
      <c r="M83" s="90">
        <v>48</v>
      </c>
    </row>
    <row r="84" spans="3:13" x14ac:dyDescent="0.25">
      <c r="C84" s="30" t="str">
        <f>VLOOKUP(D84,ResCat!$A$2:$B$268,2,FALSE)</f>
        <v>HMOPMR</v>
      </c>
      <c r="D84" s="30" t="str">
        <f>IF(ISNA(VLOOKUP(E84,COA!$A$3:$B$337,2,FALSE)),"XXX",VLOOKUP(E84,COA!$A$3:$B$337,2,FALSE))</f>
        <v>N16</v>
      </c>
      <c r="E84" s="67" t="str">
        <f t="shared" ref="E84:E91" si="3">F84&amp;G84&amp;H84</f>
        <v>001110030012</v>
      </c>
      <c r="F84" s="89" t="s">
        <v>387</v>
      </c>
      <c r="G84" s="89" t="s">
        <v>381</v>
      </c>
      <c r="H84" s="89" t="s">
        <v>376</v>
      </c>
      <c r="I84" s="90">
        <v>7278.2599999999993</v>
      </c>
      <c r="J84" s="90">
        <v>357.97</v>
      </c>
      <c r="K84" s="90">
        <v>6996.2599999999993</v>
      </c>
      <c r="L84" s="90">
        <v>721</v>
      </c>
      <c r="M84" s="90">
        <v>412.97</v>
      </c>
    </row>
    <row r="85" spans="3:13" x14ac:dyDescent="0.25">
      <c r="C85" s="30" t="str">
        <f>VLOOKUP(D85,ResCat!$A$2:$B$268,2,FALSE)</f>
        <v>HMOLG</v>
      </c>
      <c r="D85" s="30" t="str">
        <f>IF(ISNA(VLOOKUP(E85,COA!$A$3:$B$337,2,FALSE)),"XXX",VLOOKUP(E85,COA!$A$3:$B$337,2,FALSE))</f>
        <v>L11</v>
      </c>
      <c r="E85" s="67" t="str">
        <f t="shared" si="3"/>
        <v>001110040012</v>
      </c>
      <c r="F85" s="89" t="s">
        <v>387</v>
      </c>
      <c r="G85" s="89" t="s">
        <v>382</v>
      </c>
      <c r="H85" s="89" t="s">
        <v>376</v>
      </c>
      <c r="I85" s="90">
        <v>60950.869999999959</v>
      </c>
      <c r="J85" s="90">
        <v>3192.3000000000015</v>
      </c>
      <c r="K85" s="90">
        <v>58691.999999999971</v>
      </c>
      <c r="L85" s="90">
        <v>9298.489999999998</v>
      </c>
      <c r="M85" s="90">
        <v>2934.19</v>
      </c>
    </row>
    <row r="86" spans="3:13" x14ac:dyDescent="0.25">
      <c r="C86" s="30" t="str">
        <f>VLOOKUP(D86,ResCat!$A$2:$B$268,2,FALSE)</f>
        <v>HMOLG</v>
      </c>
      <c r="D86" s="30" t="str">
        <f>IF(ISNA(VLOOKUP(E86,COA!$A$3:$B$337,2,FALSE)),"XXX",VLOOKUP(E86,COA!$A$3:$B$337,2,FALSE))</f>
        <v>L17</v>
      </c>
      <c r="E86" s="67" t="str">
        <f t="shared" si="3"/>
        <v>001110040047</v>
      </c>
      <c r="F86" s="89" t="s">
        <v>387</v>
      </c>
      <c r="G86" s="89" t="s">
        <v>382</v>
      </c>
      <c r="H86" s="89" t="s">
        <v>383</v>
      </c>
      <c r="I86" s="90">
        <v>567.89</v>
      </c>
      <c r="J86" s="90">
        <v>0</v>
      </c>
      <c r="K86" s="90">
        <v>567.89</v>
      </c>
      <c r="L86" s="90">
        <v>569.89</v>
      </c>
      <c r="M86" s="90">
        <v>330.84999999999997</v>
      </c>
    </row>
    <row r="87" spans="3:13" x14ac:dyDescent="0.25">
      <c r="C87" s="30" t="str">
        <f>VLOOKUP(D87,ResCat!$A$2:$B$268,2,FALSE)</f>
        <v>HMFLEX</v>
      </c>
      <c r="D87" s="30" t="str">
        <f>IF(ISNA(VLOOKUP(E87,COA!$A$3:$B$337,2,FALSE)),"XXX",VLOOKUP(E87,COA!$A$3:$B$337,2,FALSE))</f>
        <v>L21</v>
      </c>
      <c r="E87" s="67" t="str">
        <f t="shared" si="3"/>
        <v>001110040048</v>
      </c>
      <c r="F87" s="89" t="s">
        <v>387</v>
      </c>
      <c r="G87" s="89" t="s">
        <v>382</v>
      </c>
      <c r="H87" s="89" t="s">
        <v>394</v>
      </c>
      <c r="I87" s="90">
        <v>992.52</v>
      </c>
      <c r="J87" s="90">
        <v>0</v>
      </c>
      <c r="K87" s="90">
        <v>992.52</v>
      </c>
      <c r="L87" s="90">
        <v>0</v>
      </c>
      <c r="M87" s="90">
        <v>0</v>
      </c>
    </row>
    <row r="88" spans="3:13" x14ac:dyDescent="0.25">
      <c r="C88" s="30" t="str">
        <f>VLOOKUP(D88,ResCat!$A$2:$B$268,2,FALSE)</f>
        <v>HMOLG</v>
      </c>
      <c r="D88" s="30" t="str">
        <f>IF(ISNA(VLOOKUP(E88,COA!$A$3:$B$337,2,FALSE)),"XXX",VLOOKUP(E88,COA!$A$3:$B$337,2,FALSE))</f>
        <v>N11</v>
      </c>
      <c r="E88" s="67" t="str">
        <f t="shared" si="3"/>
        <v>001110050012</v>
      </c>
      <c r="F88" s="89" t="s">
        <v>387</v>
      </c>
      <c r="G88" s="89" t="s">
        <v>385</v>
      </c>
      <c r="H88" s="89" t="s">
        <v>376</v>
      </c>
      <c r="I88" s="90">
        <v>30908.660000000007</v>
      </c>
      <c r="J88" s="90">
        <v>913.6099999999999</v>
      </c>
      <c r="K88" s="90">
        <v>30836.660000000007</v>
      </c>
      <c r="L88" s="90">
        <v>4888.0800000000027</v>
      </c>
      <c r="M88" s="90">
        <v>832.77</v>
      </c>
    </row>
    <row r="89" spans="3:13" x14ac:dyDescent="0.25">
      <c r="C89" s="30" t="str">
        <f>VLOOKUP(D89,ResCat!$A$2:$B$268,2,FALSE)</f>
        <v>NATPAR</v>
      </c>
      <c r="D89" s="30" t="str">
        <f>IF(ISNA(VLOOKUP(E89,COA!$A$3:$B$337,2,FALSE)),"XXX",VLOOKUP(E89,COA!$A$3:$B$337,2,FALSE))</f>
        <v>N12</v>
      </c>
      <c r="E89" s="67" t="str">
        <f t="shared" si="3"/>
        <v>001110050020</v>
      </c>
      <c r="F89" s="89" t="s">
        <v>387</v>
      </c>
      <c r="G89" s="89" t="s">
        <v>385</v>
      </c>
      <c r="H89" s="89" t="s">
        <v>397</v>
      </c>
      <c r="I89" s="90">
        <v>301.04999999999995</v>
      </c>
      <c r="J89" s="90">
        <v>0</v>
      </c>
      <c r="K89" s="90">
        <v>0</v>
      </c>
      <c r="L89" s="90">
        <v>0</v>
      </c>
      <c r="M89" s="90">
        <v>0</v>
      </c>
    </row>
    <row r="90" spans="3:13" x14ac:dyDescent="0.25">
      <c r="C90" s="30" t="str">
        <f>VLOOKUP(D90,ResCat!$A$2:$B$268,2,FALSE)</f>
        <v>HMOLG</v>
      </c>
      <c r="D90" s="30" t="str">
        <f>IF(ISNA(VLOOKUP(E90,COA!$A$3:$B$337,2,FALSE)),"XXX",VLOOKUP(E90,COA!$A$3:$B$337,2,FALSE))</f>
        <v>L13</v>
      </c>
      <c r="E90" s="67" t="str">
        <f t="shared" si="3"/>
        <v>001110060012</v>
      </c>
      <c r="F90" s="89" t="s">
        <v>387</v>
      </c>
      <c r="G90" s="89" t="s">
        <v>386</v>
      </c>
      <c r="H90" s="89" t="s">
        <v>376</v>
      </c>
      <c r="I90" s="90">
        <v>68125.069999999992</v>
      </c>
      <c r="J90" s="90">
        <v>6606.4099999999953</v>
      </c>
      <c r="K90" s="90">
        <v>68125.069999999992</v>
      </c>
      <c r="L90" s="90">
        <v>8406.1299999999865</v>
      </c>
      <c r="M90" s="90">
        <v>8514.89</v>
      </c>
    </row>
    <row r="91" spans="3:13" x14ac:dyDescent="0.25">
      <c r="C91" s="30" t="str">
        <f>VLOOKUP(D91,ResCat!$A$2:$B$268,2,FALSE)</f>
        <v>PERMEDA</v>
      </c>
      <c r="D91" s="30" t="str">
        <f>IF(ISNA(VLOOKUP(E91,COA!$A$3:$B$337,2,FALSE)),"XXX",VLOOKUP(E91,COA!$A$3:$B$337,2,FALSE))</f>
        <v>P13</v>
      </c>
      <c r="E91" s="67" t="str">
        <f t="shared" si="3"/>
        <v>001110080033</v>
      </c>
      <c r="F91" s="89" t="s">
        <v>387</v>
      </c>
      <c r="G91" s="89" t="s">
        <v>398</v>
      </c>
      <c r="H91" s="89" t="s">
        <v>751</v>
      </c>
      <c r="I91" s="90">
        <v>0</v>
      </c>
      <c r="J91" s="90">
        <v>0</v>
      </c>
      <c r="K91" s="90">
        <v>0</v>
      </c>
      <c r="L91" s="90">
        <v>20</v>
      </c>
      <c r="M91" s="90">
        <v>0</v>
      </c>
    </row>
    <row r="92" spans="3:13" x14ac:dyDescent="0.25">
      <c r="C92" s="30" t="str">
        <f>VLOOKUP(D92,ResCat!$A$2:$B$268,2,FALSE)</f>
        <v>HMOPERA</v>
      </c>
      <c r="D92" s="30" t="str">
        <f>IF(ISNA(VLOOKUP(E92,COA!$A$3:$B$337,2,FALSE)),"XXX",VLOOKUP(E92,COA!$A$3:$B$337,2,FALSE))</f>
        <v>P12</v>
      </c>
      <c r="E92" s="67" t="str">
        <f t="shared" ref="E92:E93" si="4">F92&amp;G92&amp;H92</f>
        <v>001110080037</v>
      </c>
      <c r="F92" s="89" t="s">
        <v>387</v>
      </c>
      <c r="G92" s="89" t="s">
        <v>398</v>
      </c>
      <c r="H92" s="89" t="s">
        <v>399</v>
      </c>
      <c r="I92" s="90">
        <v>169444.27999999991</v>
      </c>
      <c r="J92" s="90">
        <v>0</v>
      </c>
      <c r="K92" s="90">
        <v>169444.27999999991</v>
      </c>
      <c r="L92" s="90">
        <v>9</v>
      </c>
      <c r="M92" s="90">
        <v>0</v>
      </c>
    </row>
    <row r="93" spans="3:13" x14ac:dyDescent="0.25">
      <c r="C93" s="30" t="str">
        <f>VLOOKUP(D93,ResCat!$A$2:$B$268,2,FALSE)</f>
        <v>HMOPERN</v>
      </c>
      <c r="D93" s="30" t="str">
        <f>IF(ISNA(VLOOKUP(E93,COA!$A$3:$B$337,2,FALSE)),"XXX",VLOOKUP(E93,COA!$A$3:$B$337,2,FALSE))</f>
        <v>P23</v>
      </c>
      <c r="E93" s="67" t="str">
        <f t="shared" si="4"/>
        <v>001110080054</v>
      </c>
      <c r="F93" s="89" t="s">
        <v>387</v>
      </c>
      <c r="G93" s="89" t="s">
        <v>398</v>
      </c>
      <c r="H93" s="89" t="s">
        <v>754</v>
      </c>
      <c r="I93" s="90">
        <v>0</v>
      </c>
      <c r="J93" s="90">
        <v>0</v>
      </c>
      <c r="K93" s="90">
        <v>0</v>
      </c>
      <c r="L93" s="90">
        <v>1</v>
      </c>
      <c r="M93" s="90">
        <v>0</v>
      </c>
    </row>
    <row r="94" spans="3:13" x14ac:dyDescent="0.25">
      <c r="C94" s="30" t="str">
        <f>VLOOKUP(D94,ResCat!$A$2:$B$268,2,FALSE)</f>
        <v>PERMEDN</v>
      </c>
      <c r="D94" s="30" t="str">
        <f>IF(ISNA(VLOOKUP(E94,COA!$A$3:$B$337,2,FALSE)),"XXX",VLOOKUP(E94,COA!$A$3:$B$337,2,FALSE))</f>
        <v>P28</v>
      </c>
      <c r="E94" s="67" t="str">
        <f t="shared" ref="E94:E157" si="5">F94&amp;G94&amp;H94</f>
        <v>001110080055</v>
      </c>
      <c r="F94" s="89" t="s">
        <v>387</v>
      </c>
      <c r="G94" s="89" t="s">
        <v>398</v>
      </c>
      <c r="H94" s="89" t="s">
        <v>757</v>
      </c>
      <c r="I94" s="90">
        <v>0</v>
      </c>
      <c r="J94" s="90">
        <v>0</v>
      </c>
      <c r="K94" s="90">
        <v>0</v>
      </c>
      <c r="L94" s="90">
        <v>0</v>
      </c>
      <c r="M94" s="90">
        <v>0</v>
      </c>
    </row>
    <row r="95" spans="3:13" x14ac:dyDescent="0.25">
      <c r="C95" s="30" t="str">
        <f>VLOOKUP(D95,ResCat!$A$2:$B$268,2,FALSE)</f>
        <v>XXX</v>
      </c>
      <c r="D95" s="30" t="str">
        <f>IF(ISNA(VLOOKUP(E95,COA!$A$3:$B$337,2,FALSE)),"XXX",VLOOKUP(E95,COA!$A$3:$B$337,2,FALSE))</f>
        <v>XXX</v>
      </c>
      <c r="E95" s="67" t="str">
        <f t="shared" si="5"/>
        <v>001110090023</v>
      </c>
      <c r="F95" s="89" t="s">
        <v>387</v>
      </c>
      <c r="G95" s="89" t="s">
        <v>335</v>
      </c>
      <c r="H95" s="89" t="s">
        <v>388</v>
      </c>
      <c r="I95" s="90">
        <v>1</v>
      </c>
      <c r="J95" s="90">
        <v>0</v>
      </c>
      <c r="K95" s="90">
        <v>1</v>
      </c>
      <c r="L95" s="90">
        <v>0</v>
      </c>
      <c r="M95" s="90">
        <v>0</v>
      </c>
    </row>
    <row r="96" spans="3:13" x14ac:dyDescent="0.25">
      <c r="C96" s="30" t="str">
        <f>VLOOKUP(D96,ResCat!$A$2:$B$268,2,FALSE)</f>
        <v>HMOSG</v>
      </c>
      <c r="D96" s="30" t="str">
        <f>IF(ISNA(VLOOKUP(E96,COA!$A$3:$B$337,2,FALSE)),"XXX",VLOOKUP(E96,COA!$A$3:$B$337,2,FALSE))</f>
        <v>S11</v>
      </c>
      <c r="E96" s="67" t="str">
        <f t="shared" si="5"/>
        <v>001110100017</v>
      </c>
      <c r="F96" s="89" t="s">
        <v>387</v>
      </c>
      <c r="G96" s="89" t="s">
        <v>389</v>
      </c>
      <c r="H96" s="89" t="s">
        <v>390</v>
      </c>
      <c r="I96" s="90">
        <v>132945.22000000006</v>
      </c>
      <c r="J96" s="90">
        <v>36435.740000000013</v>
      </c>
      <c r="K96" s="90">
        <v>132945.22000000006</v>
      </c>
      <c r="L96" s="90">
        <v>33301.999999999985</v>
      </c>
      <c r="M96" s="90">
        <v>7409.2800000000016</v>
      </c>
    </row>
    <row r="97" spans="3:13" x14ac:dyDescent="0.25">
      <c r="C97" s="30" t="str">
        <f>VLOOKUP(D97,ResCat!$A$2:$B$268,2,FALSE)</f>
        <v>HMOSG</v>
      </c>
      <c r="D97" s="30" t="str">
        <f>IF(ISNA(VLOOKUP(E97,COA!$A$3:$B$337,2,FALSE)),"XXX",VLOOKUP(E97,COA!$A$3:$B$337,2,FALSE))</f>
        <v>S13</v>
      </c>
      <c r="E97" s="67" t="str">
        <f t="shared" si="5"/>
        <v>001110100023</v>
      </c>
      <c r="F97" s="89" t="s">
        <v>387</v>
      </c>
      <c r="G97" s="89" t="s">
        <v>389</v>
      </c>
      <c r="H97" s="89" t="s">
        <v>388</v>
      </c>
      <c r="I97" s="90">
        <v>2456.06</v>
      </c>
      <c r="J97" s="90">
        <v>405</v>
      </c>
      <c r="K97" s="90">
        <v>2456.06</v>
      </c>
      <c r="L97" s="90">
        <v>406</v>
      </c>
      <c r="M97" s="90">
        <v>0</v>
      </c>
    </row>
    <row r="98" spans="3:13" x14ac:dyDescent="0.25">
      <c r="C98" s="30" t="str">
        <f>VLOOKUP(D98,ResCat!$A$2:$B$268,2,FALSE)</f>
        <v>HMOSG</v>
      </c>
      <c r="D98" s="30" t="str">
        <f>IF(ISNA(VLOOKUP(E98,COA!$A$3:$B$337,2,FALSE)),"XXX",VLOOKUP(E98,COA!$A$3:$B$337,2,FALSE))</f>
        <v>S14</v>
      </c>
      <c r="E98" s="67" t="str">
        <f t="shared" si="5"/>
        <v>001110100024</v>
      </c>
      <c r="F98" s="89" t="s">
        <v>387</v>
      </c>
      <c r="G98" s="89" t="s">
        <v>389</v>
      </c>
      <c r="H98" s="89" t="s">
        <v>391</v>
      </c>
      <c r="I98" s="90">
        <v>1235.94</v>
      </c>
      <c r="J98" s="90">
        <v>427.94000000000005</v>
      </c>
      <c r="K98" s="90">
        <v>1235.94</v>
      </c>
      <c r="L98" s="90">
        <v>330.94000000000005</v>
      </c>
      <c r="M98" s="90">
        <v>10</v>
      </c>
    </row>
    <row r="99" spans="3:13" x14ac:dyDescent="0.25">
      <c r="C99" s="30" t="str">
        <f>VLOOKUP(D99,ResCat!$A$2:$B$268,2,FALSE)</f>
        <v>HMOPMR</v>
      </c>
      <c r="D99" s="30" t="str">
        <f>IF(ISNA(VLOOKUP(E99,COA!$A$3:$B$337,2,FALSE)),"XXX",VLOOKUP(E99,COA!$A$3:$B$337,2,FALSE))</f>
        <v>K11</v>
      </c>
      <c r="E99" s="67" t="str">
        <f t="shared" si="5"/>
        <v>001110120012</v>
      </c>
      <c r="F99" s="89" t="s">
        <v>387</v>
      </c>
      <c r="G99" s="89" t="s">
        <v>392</v>
      </c>
      <c r="H99" s="89" t="s">
        <v>376</v>
      </c>
      <c r="I99" s="90">
        <v>73305.659999999916</v>
      </c>
      <c r="J99" s="90">
        <v>1171.6500000000005</v>
      </c>
      <c r="K99" s="90">
        <v>29833.919999999991</v>
      </c>
      <c r="L99" s="90">
        <v>11339.010000000002</v>
      </c>
      <c r="M99" s="90">
        <v>20</v>
      </c>
    </row>
    <row r="100" spans="3:13" x14ac:dyDescent="0.25">
      <c r="C100" s="30" t="str">
        <f>VLOOKUP(D100,ResCat!$A$2:$B$268,2,FALSE)</f>
        <v>HMFLEX</v>
      </c>
      <c r="D100" s="30" t="str">
        <f>IF(ISNA(VLOOKUP(E100,COA!$A$3:$B$337,2,FALSE)),"XXX",VLOOKUP(E100,COA!$A$3:$B$337,2,FALSE))</f>
        <v>K21</v>
      </c>
      <c r="E100" s="67" t="str">
        <f t="shared" si="5"/>
        <v>001110120048</v>
      </c>
      <c r="F100" s="89" t="s">
        <v>387</v>
      </c>
      <c r="G100" s="89" t="s">
        <v>392</v>
      </c>
      <c r="H100" s="89" t="s">
        <v>394</v>
      </c>
      <c r="I100" s="90">
        <v>60301.090000000135</v>
      </c>
      <c r="J100" s="90">
        <v>0</v>
      </c>
      <c r="K100" s="90">
        <v>60301.090000000135</v>
      </c>
      <c r="L100" s="90">
        <v>0</v>
      </c>
      <c r="M100" s="90">
        <v>0</v>
      </c>
    </row>
    <row r="101" spans="3:13" x14ac:dyDescent="0.25">
      <c r="C101" s="30" t="str">
        <f>VLOOKUP(D101,ResCat!$A$2:$B$268,2,FALSE)</f>
        <v>HMOPMR</v>
      </c>
      <c r="D101" s="30" t="str">
        <f>IF(ISNA(VLOOKUP(E101,COA!$A$3:$B$337,2,FALSE)),"XXX",VLOOKUP(E101,COA!$A$3:$B$337,2,FALSE))</f>
        <v>N20</v>
      </c>
      <c r="E101" s="67" t="str">
        <f t="shared" si="5"/>
        <v>001110130012</v>
      </c>
      <c r="F101" s="89" t="s">
        <v>387</v>
      </c>
      <c r="G101" s="89" t="s">
        <v>393</v>
      </c>
      <c r="H101" s="89" t="s">
        <v>376</v>
      </c>
      <c r="I101" s="90">
        <v>10747.92</v>
      </c>
      <c r="J101" s="90">
        <v>0</v>
      </c>
      <c r="K101" s="90">
        <v>6107.27</v>
      </c>
      <c r="L101" s="90">
        <v>291</v>
      </c>
      <c r="M101" s="90">
        <v>1</v>
      </c>
    </row>
    <row r="102" spans="3:13" x14ac:dyDescent="0.25">
      <c r="C102" s="30" t="str">
        <f>VLOOKUP(D102,ResCat!$A$2:$B$268,2,FALSE)</f>
        <v>HMFLEX</v>
      </c>
      <c r="D102" s="30" t="str">
        <f>IF(ISNA(VLOOKUP(E102,COA!$A$3:$B$337,2,FALSE)),"XXX",VLOOKUP(E102,COA!$A$3:$B$337,2,FALSE))</f>
        <v>N21</v>
      </c>
      <c r="E102" s="67" t="str">
        <f t="shared" si="5"/>
        <v>001110130048</v>
      </c>
      <c r="F102" s="89" t="s">
        <v>387</v>
      </c>
      <c r="G102" s="89" t="s">
        <v>393</v>
      </c>
      <c r="H102" s="89" t="s">
        <v>394</v>
      </c>
      <c r="I102" s="90">
        <v>24513.100000000042</v>
      </c>
      <c r="J102" s="90">
        <v>0</v>
      </c>
      <c r="K102" s="90">
        <v>13282.879999999996</v>
      </c>
      <c r="L102" s="90">
        <v>1587</v>
      </c>
      <c r="M102" s="90">
        <v>0</v>
      </c>
    </row>
    <row r="103" spans="3:13" x14ac:dyDescent="0.25">
      <c r="C103" s="30" t="str">
        <f>VLOOKUP(D103,ResCat!$A$2:$B$268,2,FALSE)</f>
        <v>XXX</v>
      </c>
      <c r="D103" s="30" t="str">
        <f>IF(ISNA(VLOOKUP(E103,COA!$A$3:$B$337,2,FALSE)),"XXX",VLOOKUP(E103,COA!$A$3:$B$337,2,FALSE))</f>
        <v>XXX</v>
      </c>
      <c r="E103" s="67" t="str">
        <f t="shared" si="5"/>
        <v>001110140012</v>
      </c>
      <c r="F103" s="89" t="s">
        <v>387</v>
      </c>
      <c r="G103" s="89" t="s">
        <v>401</v>
      </c>
      <c r="H103" s="89" t="s">
        <v>376</v>
      </c>
      <c r="I103" s="90">
        <v>9</v>
      </c>
      <c r="J103" s="90">
        <v>5</v>
      </c>
      <c r="K103" s="90">
        <v>9</v>
      </c>
      <c r="L103" s="90">
        <v>2</v>
      </c>
      <c r="M103" s="90">
        <v>0</v>
      </c>
    </row>
    <row r="104" spans="3:13" x14ac:dyDescent="0.25">
      <c r="C104" s="30" t="str">
        <f>VLOOKUP(D104,ResCat!$A$2:$B$268,2,FALSE)</f>
        <v>HMFLEX</v>
      </c>
      <c r="D104" s="30" t="str">
        <f>IF(ISNA(VLOOKUP(E104,COA!$A$3:$B$337,2,FALSE)),"XXX",VLOOKUP(E104,COA!$A$3:$B$337,2,FALSE))</f>
        <v>K23</v>
      </c>
      <c r="E104" s="67" t="str">
        <f t="shared" si="5"/>
        <v>001110140048</v>
      </c>
      <c r="F104" s="89" t="s">
        <v>387</v>
      </c>
      <c r="G104" s="89" t="s">
        <v>401</v>
      </c>
      <c r="H104" s="89" t="s">
        <v>394</v>
      </c>
      <c r="I104" s="90">
        <v>8674.2100000000046</v>
      </c>
      <c r="J104" s="90">
        <v>8186.9000000000033</v>
      </c>
      <c r="K104" s="90">
        <v>8674.2100000000046</v>
      </c>
      <c r="L104" s="90">
        <v>7521.5800000000017</v>
      </c>
      <c r="M104" s="90">
        <v>0</v>
      </c>
    </row>
    <row r="105" spans="3:13" x14ac:dyDescent="0.25">
      <c r="C105" s="30" t="str">
        <f>VLOOKUP(D105,ResCat!$A$2:$B$268,2,FALSE)</f>
        <v>HMOPMR</v>
      </c>
      <c r="D105" s="30" t="str">
        <f>IF(ISNA(VLOOKUP(E105,COA!$A$3:$B$337,2,FALSE)),"XXX",VLOOKUP(E105,COA!$A$3:$B$337,2,FALSE))</f>
        <v>F22</v>
      </c>
      <c r="E105" s="67" t="str">
        <f t="shared" si="5"/>
        <v>001210020012</v>
      </c>
      <c r="F105" s="89" t="s">
        <v>376</v>
      </c>
      <c r="G105" s="89" t="s">
        <v>380</v>
      </c>
      <c r="H105" s="89" t="s">
        <v>376</v>
      </c>
      <c r="I105" s="90">
        <v>22091.020000000008</v>
      </c>
      <c r="J105" s="90">
        <v>0</v>
      </c>
      <c r="K105" s="90">
        <v>22091.020000000008</v>
      </c>
      <c r="L105" s="90">
        <v>14</v>
      </c>
      <c r="M105" s="90">
        <v>8935</v>
      </c>
    </row>
    <row r="106" spans="3:13" x14ac:dyDescent="0.25">
      <c r="C106" s="30" t="str">
        <f>VLOOKUP(D106,ResCat!$A$2:$B$268,2,FALSE)</f>
        <v>HMOPMR</v>
      </c>
      <c r="D106" s="30" t="str">
        <f>IF(ISNA(VLOOKUP(E106,COA!$A$3:$B$337,2,FALSE)),"XXX",VLOOKUP(E106,COA!$A$3:$B$337,2,FALSE))</f>
        <v>N15</v>
      </c>
      <c r="E106" s="67" t="str">
        <f t="shared" si="5"/>
        <v>001210030012</v>
      </c>
      <c r="F106" s="89" t="s">
        <v>376</v>
      </c>
      <c r="G106" s="89" t="s">
        <v>381</v>
      </c>
      <c r="H106" s="89" t="s">
        <v>376</v>
      </c>
      <c r="I106" s="90">
        <v>21583.319999999938</v>
      </c>
      <c r="J106" s="90">
        <v>0</v>
      </c>
      <c r="K106" s="90">
        <v>21581.319999999938</v>
      </c>
      <c r="L106" s="90">
        <v>21654.319999999938</v>
      </c>
      <c r="M106" s="90">
        <v>0</v>
      </c>
    </row>
    <row r="107" spans="3:13" x14ac:dyDescent="0.25">
      <c r="C107" s="30" t="str">
        <f>VLOOKUP(D107,ResCat!$A$2:$B$268,2,FALSE)</f>
        <v>HMOLG</v>
      </c>
      <c r="D107" s="30" t="str">
        <f>IF(ISNA(VLOOKUP(E107,COA!$A$3:$B$337,2,FALSE)),"XXX",VLOOKUP(E107,COA!$A$3:$B$337,2,FALSE))</f>
        <v>L12</v>
      </c>
      <c r="E107" s="67" t="str">
        <f t="shared" si="5"/>
        <v>001210040012</v>
      </c>
      <c r="F107" s="89" t="s">
        <v>376</v>
      </c>
      <c r="G107" s="89" t="s">
        <v>382</v>
      </c>
      <c r="H107" s="89" t="s">
        <v>376</v>
      </c>
      <c r="I107" s="90">
        <v>2415.4800000000005</v>
      </c>
      <c r="J107" s="90">
        <v>0</v>
      </c>
      <c r="K107" s="90">
        <v>2404.48</v>
      </c>
      <c r="L107" s="90">
        <v>1406.2199999999998</v>
      </c>
      <c r="M107" s="90">
        <v>173.32</v>
      </c>
    </row>
    <row r="108" spans="3:13" x14ac:dyDescent="0.25">
      <c r="C108" s="30" t="str">
        <f>VLOOKUP(D108,ResCat!$A$2:$B$268,2,FALSE)</f>
        <v>HMFLEX</v>
      </c>
      <c r="D108" s="30" t="str">
        <f>IF(ISNA(VLOOKUP(E108,COA!$A$3:$B$337,2,FALSE)),"XXX",VLOOKUP(E108,COA!$A$3:$B$337,2,FALSE))</f>
        <v>L22</v>
      </c>
      <c r="E108" s="67" t="str">
        <f t="shared" si="5"/>
        <v>001210040048</v>
      </c>
      <c r="F108" s="89" t="s">
        <v>376</v>
      </c>
      <c r="G108" s="89" t="s">
        <v>382</v>
      </c>
      <c r="H108" s="89" t="s">
        <v>394</v>
      </c>
      <c r="I108" s="90">
        <v>0</v>
      </c>
      <c r="J108" s="90">
        <v>0</v>
      </c>
      <c r="K108" s="90">
        <v>0</v>
      </c>
      <c r="L108" s="90">
        <v>0</v>
      </c>
      <c r="M108" s="90">
        <v>2</v>
      </c>
    </row>
    <row r="109" spans="3:13" x14ac:dyDescent="0.25">
      <c r="C109" s="30" t="str">
        <f>VLOOKUP(D109,ResCat!$A$2:$B$268,2,FALSE)</f>
        <v>HMOLG</v>
      </c>
      <c r="D109" s="30" t="str">
        <f>IF(ISNA(VLOOKUP(E109,COA!$A$3:$B$337,2,FALSE)),"XXX",VLOOKUP(E109,COA!$A$3:$B$337,2,FALSE))</f>
        <v>N13</v>
      </c>
      <c r="E109" s="67" t="str">
        <f t="shared" si="5"/>
        <v>001210050012</v>
      </c>
      <c r="F109" s="89" t="s">
        <v>376</v>
      </c>
      <c r="G109" s="89" t="s">
        <v>385</v>
      </c>
      <c r="H109" s="89" t="s">
        <v>376</v>
      </c>
      <c r="I109" s="90">
        <v>700.03</v>
      </c>
      <c r="J109" s="90">
        <v>0</v>
      </c>
      <c r="K109" s="90">
        <v>700.03</v>
      </c>
      <c r="L109" s="90">
        <v>400</v>
      </c>
      <c r="M109" s="90">
        <v>125</v>
      </c>
    </row>
    <row r="110" spans="3:13" x14ac:dyDescent="0.25">
      <c r="C110" s="30" t="str">
        <f>VLOOKUP(D110,ResCat!$A$2:$B$268,2,FALSE)</f>
        <v>HMOLG</v>
      </c>
      <c r="D110" s="30" t="str">
        <f>IF(ISNA(VLOOKUP(E110,COA!$A$3:$B$337,2,FALSE)),"XXX",VLOOKUP(E110,COA!$A$3:$B$337,2,FALSE))</f>
        <v>L16</v>
      </c>
      <c r="E110" s="67" t="str">
        <f t="shared" si="5"/>
        <v>001210060012</v>
      </c>
      <c r="F110" s="89" t="s">
        <v>376</v>
      </c>
      <c r="G110" s="89" t="s">
        <v>386</v>
      </c>
      <c r="H110" s="89" t="s">
        <v>376</v>
      </c>
      <c r="I110" s="90">
        <v>211</v>
      </c>
      <c r="J110" s="90">
        <v>0</v>
      </c>
      <c r="K110" s="90">
        <v>211</v>
      </c>
      <c r="L110" s="90">
        <v>37</v>
      </c>
      <c r="M110" s="90">
        <v>23</v>
      </c>
    </row>
    <row r="111" spans="3:13" x14ac:dyDescent="0.25">
      <c r="C111" s="30" t="str">
        <f>VLOOKUP(D111,ResCat!$A$2:$B$268,2,FALSE)</f>
        <v>HMOPMR</v>
      </c>
      <c r="D111" s="30" t="str">
        <f>IF(ISNA(VLOOKUP(E111,COA!$A$3:$B$337,2,FALSE)),"XXX",VLOOKUP(E111,COA!$A$3:$B$337,2,FALSE))</f>
        <v>K12</v>
      </c>
      <c r="E111" s="67" t="str">
        <f t="shared" si="5"/>
        <v>001210120012</v>
      </c>
      <c r="F111" s="89" t="s">
        <v>376</v>
      </c>
      <c r="G111" s="89" t="s">
        <v>392</v>
      </c>
      <c r="H111" s="89" t="s">
        <v>376</v>
      </c>
      <c r="I111" s="90">
        <v>1989.0299999999995</v>
      </c>
      <c r="J111" s="90">
        <v>0</v>
      </c>
      <c r="K111" s="90">
        <v>192</v>
      </c>
      <c r="L111" s="90">
        <v>215</v>
      </c>
      <c r="M111" s="90">
        <v>1</v>
      </c>
    </row>
    <row r="112" spans="3:13" x14ac:dyDescent="0.25">
      <c r="C112" s="30" t="str">
        <f>VLOOKUP(D112,ResCat!$A$2:$B$268,2,FALSE)</f>
        <v>HMOPMR</v>
      </c>
      <c r="D112" s="30" t="str">
        <f>IF(ISNA(VLOOKUP(E112,COA!$A$3:$B$337,2,FALSE)),"XXX",VLOOKUP(E112,COA!$A$3:$B$337,2,FALSE))</f>
        <v>N14</v>
      </c>
      <c r="E112" s="67" t="str">
        <f t="shared" si="5"/>
        <v>001210130012</v>
      </c>
      <c r="F112" s="89" t="s">
        <v>376</v>
      </c>
      <c r="G112" s="89" t="s">
        <v>393</v>
      </c>
      <c r="H112" s="89" t="s">
        <v>376</v>
      </c>
      <c r="I112" s="90">
        <v>0</v>
      </c>
      <c r="J112" s="90">
        <v>0</v>
      </c>
      <c r="K112" s="90">
        <v>0</v>
      </c>
      <c r="L112" s="90">
        <v>0</v>
      </c>
      <c r="M112" s="90">
        <v>0</v>
      </c>
    </row>
    <row r="113" spans="3:13" x14ac:dyDescent="0.25">
      <c r="C113" s="30" t="str">
        <f>VLOOKUP(D113,ResCat!$A$2:$B$268,2,FALSE)</f>
        <v>XXX</v>
      </c>
      <c r="D113" s="30" t="str">
        <f>IF(ISNA(VLOOKUP(E113,COA!$A$3:$B$337,2,FALSE)),"XXX",VLOOKUP(E113,COA!$A$3:$B$337,2,FALSE))</f>
        <v>N32</v>
      </c>
      <c r="E113" s="67" t="str">
        <f t="shared" si="5"/>
        <v>001310030035</v>
      </c>
      <c r="F113" s="89" t="s">
        <v>402</v>
      </c>
      <c r="G113" s="89" t="s">
        <v>381</v>
      </c>
      <c r="H113" s="89" t="s">
        <v>403</v>
      </c>
      <c r="I113" s="90">
        <v>19596.560000000001</v>
      </c>
      <c r="J113" s="90">
        <v>1744.54</v>
      </c>
      <c r="K113" s="90">
        <v>4922.03</v>
      </c>
      <c r="L113" s="90">
        <v>0</v>
      </c>
      <c r="M113" s="90">
        <v>0</v>
      </c>
    </row>
    <row r="114" spans="3:13" x14ac:dyDescent="0.25">
      <c r="C114" s="30" t="str">
        <f>VLOOKUP(D114,ResCat!$A$2:$B$268,2,FALSE)</f>
        <v>XXX</v>
      </c>
      <c r="D114" s="30" t="str">
        <f>IF(ISNA(VLOOKUP(E114,COA!$A$3:$B$337,2,FALSE)),"XXX",VLOOKUP(E114,COA!$A$3:$B$337,2,FALSE))</f>
        <v>L41</v>
      </c>
      <c r="E114" s="67" t="str">
        <f t="shared" si="5"/>
        <v>001310040035</v>
      </c>
      <c r="F114" s="89" t="s">
        <v>402</v>
      </c>
      <c r="G114" s="89" t="s">
        <v>382</v>
      </c>
      <c r="H114" s="89" t="s">
        <v>403</v>
      </c>
      <c r="I114" s="90">
        <v>20931.120000000032</v>
      </c>
      <c r="J114" s="90">
        <v>722.94</v>
      </c>
      <c r="K114" s="90">
        <v>19056.500000000022</v>
      </c>
      <c r="L114" s="90">
        <v>349.8</v>
      </c>
      <c r="M114" s="90">
        <v>7</v>
      </c>
    </row>
    <row r="115" spans="3:13" x14ac:dyDescent="0.25">
      <c r="C115" s="30" t="str">
        <f>VLOOKUP(D115,ResCat!$A$2:$B$268,2,FALSE)</f>
        <v>XXX</v>
      </c>
      <c r="D115" s="30" t="str">
        <f>IF(ISNA(VLOOKUP(E115,COA!$A$3:$B$337,2,FALSE)),"XXX",VLOOKUP(E115,COA!$A$3:$B$337,2,FALSE))</f>
        <v>N41</v>
      </c>
      <c r="E115" s="67" t="str">
        <f t="shared" si="5"/>
        <v>001310050035</v>
      </c>
      <c r="F115" s="89" t="s">
        <v>402</v>
      </c>
      <c r="G115" s="89" t="s">
        <v>385</v>
      </c>
      <c r="H115" s="89" t="s">
        <v>403</v>
      </c>
      <c r="I115" s="90">
        <v>25417.520000000015</v>
      </c>
      <c r="J115" s="90">
        <v>3153.2200000000003</v>
      </c>
      <c r="K115" s="90">
        <v>24443.520000000026</v>
      </c>
      <c r="L115" s="90">
        <v>0</v>
      </c>
      <c r="M115" s="90">
        <v>561</v>
      </c>
    </row>
    <row r="116" spans="3:13" x14ac:dyDescent="0.25">
      <c r="C116" s="30" t="str">
        <f>VLOOKUP(D116,ResCat!$A$2:$B$268,2,FALSE)</f>
        <v>XXX</v>
      </c>
      <c r="D116" s="30" t="str">
        <f>IF(ISNA(VLOOKUP(E116,COA!$A$3:$B$337,2,FALSE)),"XXX",VLOOKUP(E116,COA!$A$3:$B$337,2,FALSE))</f>
        <v>K41</v>
      </c>
      <c r="E116" s="67" t="str">
        <f t="shared" si="5"/>
        <v>001310120035</v>
      </c>
      <c r="F116" s="89" t="s">
        <v>402</v>
      </c>
      <c r="G116" s="89" t="s">
        <v>392</v>
      </c>
      <c r="H116" s="89" t="s">
        <v>403</v>
      </c>
      <c r="I116" s="90">
        <v>8531.9</v>
      </c>
      <c r="J116" s="90">
        <v>0</v>
      </c>
      <c r="K116" s="90">
        <v>8531.9</v>
      </c>
      <c r="L116" s="90">
        <v>0</v>
      </c>
      <c r="M116" s="90">
        <v>0</v>
      </c>
    </row>
    <row r="117" spans="3:13" x14ac:dyDescent="0.25">
      <c r="C117" s="30" t="str">
        <f>VLOOKUP(D117,ResCat!$A$2:$B$268,2,FALSE)</f>
        <v>XXX</v>
      </c>
      <c r="D117" s="30" t="str">
        <f>IF(ISNA(VLOOKUP(E117,COA!$A$3:$B$337,2,FALSE)),"XXX",VLOOKUP(E117,COA!$A$3:$B$337,2,FALSE))</f>
        <v>N44</v>
      </c>
      <c r="E117" s="67" t="str">
        <f t="shared" si="5"/>
        <v>001310130035</v>
      </c>
      <c r="F117" s="89" t="s">
        <v>402</v>
      </c>
      <c r="G117" s="89" t="s">
        <v>393</v>
      </c>
      <c r="H117" s="89" t="s">
        <v>403</v>
      </c>
      <c r="I117" s="90">
        <v>117429.0700000002</v>
      </c>
      <c r="J117" s="90">
        <v>974</v>
      </c>
      <c r="K117" s="90">
        <v>37449.289999999921</v>
      </c>
      <c r="L117" s="90">
        <v>699.61</v>
      </c>
      <c r="M117" s="90">
        <v>88</v>
      </c>
    </row>
    <row r="118" spans="3:13" x14ac:dyDescent="0.25">
      <c r="C118" s="30" t="str">
        <f>VLOOKUP(D118,ResCat!$A$2:$B$268,2,FALSE)</f>
        <v>HMFLEX</v>
      </c>
      <c r="D118" s="30" t="str">
        <f>IF(ISNA(VLOOKUP(E118,COA!$A$3:$B$337,2,FALSE)),"XXX",VLOOKUP(E118,COA!$A$3:$B$337,2,FALSE))</f>
        <v>K42</v>
      </c>
      <c r="E118" s="67" t="str">
        <f t="shared" si="5"/>
        <v>001310140035</v>
      </c>
      <c r="F118" s="89" t="s">
        <v>402</v>
      </c>
      <c r="G118" s="89" t="s">
        <v>401</v>
      </c>
      <c r="H118" s="89" t="s">
        <v>403</v>
      </c>
      <c r="I118" s="90">
        <v>3933.79</v>
      </c>
      <c r="J118" s="90">
        <v>3174.5099999999993</v>
      </c>
      <c r="K118" s="90">
        <v>3482.79</v>
      </c>
      <c r="L118" s="90">
        <v>3411.1799999999994</v>
      </c>
      <c r="M118" s="90">
        <v>0</v>
      </c>
    </row>
    <row r="119" spans="3:13" x14ac:dyDescent="0.25">
      <c r="C119" s="30" t="str">
        <f>VLOOKUP(D119,ResCat!$A$2:$B$268,2,FALSE)</f>
        <v>XXX</v>
      </c>
      <c r="D119" s="30" t="str">
        <f>IF(ISNA(VLOOKUP(E119,COA!$A$3:$B$337,2,FALSE)),"XXX",VLOOKUP(E119,COA!$A$3:$B$337,2,FALSE))</f>
        <v>D75</v>
      </c>
      <c r="E119" s="67" t="str">
        <f t="shared" si="5"/>
        <v>001410030042</v>
      </c>
      <c r="F119" s="89" t="s">
        <v>460</v>
      </c>
      <c r="G119" s="89" t="s">
        <v>381</v>
      </c>
      <c r="H119" s="89" t="s">
        <v>578</v>
      </c>
      <c r="I119" s="90">
        <v>0</v>
      </c>
      <c r="J119" s="90">
        <v>3556</v>
      </c>
      <c r="K119" s="90">
        <v>0</v>
      </c>
      <c r="L119" s="90">
        <v>0</v>
      </c>
      <c r="M119" s="90">
        <v>0</v>
      </c>
    </row>
    <row r="120" spans="3:13" x14ac:dyDescent="0.25">
      <c r="C120" s="30" t="str">
        <f>VLOOKUP(D120,ResCat!$A$2:$B$268,2,FALSE)</f>
        <v>XXX</v>
      </c>
      <c r="D120" s="30" t="str">
        <f>IF(ISNA(VLOOKUP(E120,COA!$A$3:$B$337,2,FALSE)),"XXX",VLOOKUP(E120,COA!$A$3:$B$337,2,FALSE))</f>
        <v>D95</v>
      </c>
      <c r="E120" s="67" t="str">
        <f t="shared" si="5"/>
        <v>001410040042</v>
      </c>
      <c r="F120" s="89" t="s">
        <v>460</v>
      </c>
      <c r="G120" s="89" t="s">
        <v>382</v>
      </c>
      <c r="H120" s="89" t="s">
        <v>578</v>
      </c>
      <c r="I120" s="90">
        <v>0</v>
      </c>
      <c r="J120" s="90">
        <v>51</v>
      </c>
      <c r="K120" s="90">
        <v>0</v>
      </c>
      <c r="L120" s="90">
        <v>12</v>
      </c>
      <c r="M120" s="90">
        <v>0</v>
      </c>
    </row>
    <row r="121" spans="3:13" x14ac:dyDescent="0.25">
      <c r="C121" s="30" t="str">
        <f>VLOOKUP(D121,ResCat!$A$2:$B$268,2,FALSE)</f>
        <v>XXX</v>
      </c>
      <c r="D121" s="30" t="str">
        <f>IF(ISNA(VLOOKUP(E121,COA!$A$3:$B$337,2,FALSE)),"XXX",VLOOKUP(E121,COA!$A$3:$B$337,2,FALSE))</f>
        <v>D95</v>
      </c>
      <c r="E121" s="67" t="str">
        <f t="shared" si="5"/>
        <v>001410050042</v>
      </c>
      <c r="F121" s="89" t="s">
        <v>460</v>
      </c>
      <c r="G121" s="89" t="s">
        <v>385</v>
      </c>
      <c r="H121" s="89" t="s">
        <v>578</v>
      </c>
      <c r="I121" s="90">
        <v>0</v>
      </c>
      <c r="J121" s="90">
        <v>453</v>
      </c>
      <c r="K121" s="90">
        <v>0</v>
      </c>
      <c r="L121" s="90">
        <v>0</v>
      </c>
      <c r="M121" s="90">
        <v>0</v>
      </c>
    </row>
    <row r="122" spans="3:13" x14ac:dyDescent="0.25">
      <c r="C122" s="30" t="str">
        <f>VLOOKUP(D122,ResCat!$A$2:$B$268,2,FALSE)</f>
        <v>XXX</v>
      </c>
      <c r="D122" s="30" t="str">
        <f>IF(ISNA(VLOOKUP(E122,COA!$A$3:$B$337,2,FALSE)),"XXX",VLOOKUP(E122,COA!$A$3:$B$337,2,FALSE))</f>
        <v>D75</v>
      </c>
      <c r="E122" s="67" t="str">
        <f t="shared" si="5"/>
        <v>001410130042</v>
      </c>
      <c r="F122" s="89" t="s">
        <v>460</v>
      </c>
      <c r="G122" s="89" t="s">
        <v>393</v>
      </c>
      <c r="H122" s="89" t="s">
        <v>578</v>
      </c>
      <c r="I122" s="90">
        <v>0</v>
      </c>
      <c r="J122" s="90">
        <v>2145</v>
      </c>
      <c r="K122" s="90">
        <v>0</v>
      </c>
      <c r="L122" s="90">
        <v>0</v>
      </c>
      <c r="M122" s="90">
        <v>0</v>
      </c>
    </row>
    <row r="123" spans="3:13" x14ac:dyDescent="0.25">
      <c r="C123" s="30" t="str">
        <f>VLOOKUP(D123,ResCat!$A$2:$B$268,2,FALSE)</f>
        <v>XXX</v>
      </c>
      <c r="D123" s="30" t="str">
        <f>IF(ISNA(VLOOKUP(E123,COA!$A$3:$B$337,2,FALSE)),"XXX",VLOOKUP(E123,COA!$A$3:$B$337,2,FALSE))</f>
        <v>E91</v>
      </c>
      <c r="E123" s="67" t="str">
        <f t="shared" si="5"/>
        <v>001510040035</v>
      </c>
      <c r="F123" s="89" t="s">
        <v>602</v>
      </c>
      <c r="G123" s="89" t="s">
        <v>382</v>
      </c>
      <c r="H123" s="89" t="s">
        <v>403</v>
      </c>
      <c r="I123" s="90">
        <v>0</v>
      </c>
      <c r="J123" s="90">
        <v>0</v>
      </c>
      <c r="K123" s="90">
        <v>0</v>
      </c>
      <c r="L123" s="90">
        <v>1719.26</v>
      </c>
      <c r="M123" s="90">
        <v>0</v>
      </c>
    </row>
    <row r="124" spans="3:13" x14ac:dyDescent="0.25">
      <c r="C124" s="30" t="str">
        <f>VLOOKUP(D124,ResCat!$A$2:$B$268,2,FALSE)</f>
        <v>XXX</v>
      </c>
      <c r="D124" s="30" t="str">
        <f>IF(ISNA(VLOOKUP(E124,COA!$A$3:$B$337,2,FALSE)),"XXX",VLOOKUP(E124,COA!$A$3:$B$337,2,FALSE))</f>
        <v>E91</v>
      </c>
      <c r="E124" s="67" t="str">
        <f t="shared" si="5"/>
        <v>001510060035</v>
      </c>
      <c r="F124" s="89" t="s">
        <v>602</v>
      </c>
      <c r="G124" s="89" t="s">
        <v>386</v>
      </c>
      <c r="H124" s="89" t="s">
        <v>403</v>
      </c>
      <c r="I124" s="90">
        <v>0</v>
      </c>
      <c r="J124" s="90">
        <v>0</v>
      </c>
      <c r="K124" s="90">
        <v>0</v>
      </c>
      <c r="L124" s="90">
        <v>4191.6399999999994</v>
      </c>
      <c r="M124" s="90">
        <v>0</v>
      </c>
    </row>
    <row r="125" spans="3:13" x14ac:dyDescent="0.25">
      <c r="C125" s="30" t="str">
        <f>VLOOKUP(D125,ResCat!$A$2:$B$268,2,FALSE)</f>
        <v>AGDMHC</v>
      </c>
      <c r="D125" s="30" t="str">
        <f>IF(ISNA(VLOOKUP(E125,COA!$A$3:$B$337,2,FALSE)),"XXX",VLOOKUP(E125,COA!$A$3:$B$337,2,FALSE))</f>
        <v>E71</v>
      </c>
      <c r="E125" s="67" t="str">
        <f t="shared" si="5"/>
        <v>001510120035</v>
      </c>
      <c r="F125" s="89" t="s">
        <v>602</v>
      </c>
      <c r="G125" s="89" t="s">
        <v>392</v>
      </c>
      <c r="H125" s="89" t="s">
        <v>403</v>
      </c>
      <c r="I125" s="90">
        <v>0</v>
      </c>
      <c r="J125" s="90">
        <v>0</v>
      </c>
      <c r="K125" s="90">
        <v>0</v>
      </c>
      <c r="L125" s="90">
        <v>12061.869999999999</v>
      </c>
      <c r="M125" s="90">
        <v>0</v>
      </c>
    </row>
    <row r="126" spans="3:13" x14ac:dyDescent="0.25">
      <c r="C126" s="30" t="str">
        <f>VLOOKUP(D126,ResCat!$A$2:$B$268,2,FALSE)</f>
        <v>AGDMHC</v>
      </c>
      <c r="D126" s="30" t="str">
        <f>IF(ISNA(VLOOKUP(E126,COA!$A$3:$B$337,2,FALSE)),"XXX",VLOOKUP(E126,COA!$A$3:$B$337,2,FALSE))</f>
        <v>E71</v>
      </c>
      <c r="E126" s="67" t="str">
        <f t="shared" si="5"/>
        <v>001510130035</v>
      </c>
      <c r="F126" s="89" t="s">
        <v>602</v>
      </c>
      <c r="G126" s="89" t="s">
        <v>393</v>
      </c>
      <c r="H126" s="89" t="s">
        <v>403</v>
      </c>
      <c r="I126" s="90">
        <v>0</v>
      </c>
      <c r="J126" s="90">
        <v>0</v>
      </c>
      <c r="K126" s="90">
        <v>0</v>
      </c>
      <c r="L126" s="90">
        <v>289.08999999999997</v>
      </c>
      <c r="M126" s="90">
        <v>0</v>
      </c>
    </row>
    <row r="127" spans="3:13" x14ac:dyDescent="0.25">
      <c r="C127" s="30" t="str">
        <f>VLOOKUP(D127,ResCat!$A$2:$B$268,2,FALSE)</f>
        <v>XXX</v>
      </c>
      <c r="D127" s="30" t="str">
        <f>IF(ISNA(VLOOKUP(E127,COA!$A$3:$B$337,2,FALSE)),"XXX",VLOOKUP(E127,COA!$A$3:$B$337,2,FALSE))</f>
        <v>XXX</v>
      </c>
      <c r="E127" s="67" t="str">
        <f t="shared" si="5"/>
        <v>001510140035</v>
      </c>
      <c r="F127" s="89" t="s">
        <v>602</v>
      </c>
      <c r="G127" s="89" t="s">
        <v>401</v>
      </c>
      <c r="H127" s="89" t="s">
        <v>403</v>
      </c>
      <c r="I127" s="90">
        <v>0</v>
      </c>
      <c r="J127" s="90">
        <v>0</v>
      </c>
      <c r="K127" s="90">
        <v>0</v>
      </c>
      <c r="L127" s="90">
        <v>187</v>
      </c>
      <c r="M127" s="90">
        <v>0</v>
      </c>
    </row>
    <row r="128" spans="3:13" x14ac:dyDescent="0.25">
      <c r="C128" s="30" t="str">
        <f>VLOOKUP(D128,ResCat!$A$2:$B$268,2,FALSE)</f>
        <v>HMOMG</v>
      </c>
      <c r="D128" s="30" t="str">
        <f>IF(ISNA(VLOOKUP(E128,COA!$A$3:$B$337,2,FALSE)),"XXX",VLOOKUP(E128,COA!$A$3:$B$337,2,FALSE))</f>
        <v>R18</v>
      </c>
      <c r="E128" s="67" t="str">
        <f t="shared" si="5"/>
        <v>001610020012</v>
      </c>
      <c r="F128" s="89" t="s">
        <v>404</v>
      </c>
      <c r="G128" s="89" t="s">
        <v>380</v>
      </c>
      <c r="H128" s="89" t="s">
        <v>376</v>
      </c>
      <c r="I128" s="90">
        <v>246</v>
      </c>
      <c r="J128" s="90">
        <v>0</v>
      </c>
      <c r="K128" s="90">
        <v>246</v>
      </c>
      <c r="L128" s="90">
        <v>258</v>
      </c>
      <c r="M128" s="90">
        <v>0</v>
      </c>
    </row>
    <row r="129" spans="3:13" x14ac:dyDescent="0.25">
      <c r="C129" s="30" t="str">
        <f>VLOOKUP(D129,ResCat!$A$2:$B$268,2,FALSE)</f>
        <v>HMOMG</v>
      </c>
      <c r="D129" s="30" t="str">
        <f>IF(ISNA(VLOOKUP(E129,COA!$A$3:$B$337,2,FALSE)),"XXX",VLOOKUP(E129,COA!$A$3:$B$337,2,FALSE))</f>
        <v>R25</v>
      </c>
      <c r="E129" s="67" t="str">
        <f t="shared" si="5"/>
        <v>001610020064</v>
      </c>
      <c r="F129" s="89" t="s">
        <v>404</v>
      </c>
      <c r="G129" s="89" t="s">
        <v>380</v>
      </c>
      <c r="H129" s="89" t="s">
        <v>405</v>
      </c>
      <c r="I129" s="90">
        <v>664</v>
      </c>
      <c r="J129" s="90">
        <v>0</v>
      </c>
      <c r="K129" s="90">
        <v>664</v>
      </c>
      <c r="L129" s="90">
        <v>664</v>
      </c>
      <c r="M129" s="90">
        <v>0</v>
      </c>
    </row>
    <row r="130" spans="3:13" x14ac:dyDescent="0.25">
      <c r="C130" s="30" t="str">
        <f>VLOOKUP(D130,ResCat!$A$2:$B$268,2,FALSE)</f>
        <v>HMOMG</v>
      </c>
      <c r="D130" s="30" t="str">
        <f>IF(ISNA(VLOOKUP(E130,COA!$A$3:$B$337,2,FALSE)),"XXX",VLOOKUP(E130,COA!$A$3:$B$337,2,FALSE))</f>
        <v>R18</v>
      </c>
      <c r="E130" s="67" t="str">
        <f t="shared" si="5"/>
        <v>001610030012</v>
      </c>
      <c r="F130" s="89" t="s">
        <v>404</v>
      </c>
      <c r="G130" s="89" t="s">
        <v>381</v>
      </c>
      <c r="H130" s="89" t="s">
        <v>376</v>
      </c>
      <c r="I130" s="90">
        <v>743</v>
      </c>
      <c r="J130" s="90">
        <v>0</v>
      </c>
      <c r="K130" s="90">
        <v>743</v>
      </c>
      <c r="L130" s="90">
        <v>674</v>
      </c>
      <c r="M130" s="90">
        <v>0</v>
      </c>
    </row>
    <row r="131" spans="3:13" x14ac:dyDescent="0.25">
      <c r="C131" s="30" t="str">
        <f>VLOOKUP(D131,ResCat!$A$2:$B$268,2,FALSE)</f>
        <v>HMOMG</v>
      </c>
      <c r="D131" s="30" t="str">
        <f>IF(ISNA(VLOOKUP(E131,COA!$A$3:$B$337,2,FALSE)),"XXX",VLOOKUP(E131,COA!$A$3:$B$337,2,FALSE))</f>
        <v>R20</v>
      </c>
      <c r="E131" s="67" t="str">
        <f t="shared" si="5"/>
        <v>001610040012</v>
      </c>
      <c r="F131" s="89" t="s">
        <v>404</v>
      </c>
      <c r="G131" s="89" t="s">
        <v>382</v>
      </c>
      <c r="H131" s="89" t="s">
        <v>376</v>
      </c>
      <c r="I131" s="90">
        <v>9</v>
      </c>
      <c r="J131" s="90">
        <v>0</v>
      </c>
      <c r="K131" s="90">
        <v>9</v>
      </c>
      <c r="L131" s="90">
        <v>0</v>
      </c>
      <c r="M131" s="90">
        <v>0</v>
      </c>
    </row>
    <row r="132" spans="3:13" x14ac:dyDescent="0.25">
      <c r="C132" s="30" t="str">
        <f>VLOOKUP(D132,ResCat!$A$2:$B$268,2,FALSE)</f>
        <v>PERMAPD</v>
      </c>
      <c r="D132" s="30" t="str">
        <f>IF(ISNA(VLOOKUP(E132,COA!$A$3:$B$337,2,FALSE)),"XXX",VLOOKUP(E132,COA!$A$3:$B$337,2,FALSE))</f>
        <v>R17</v>
      </c>
      <c r="E132" s="67" t="str">
        <f t="shared" si="5"/>
        <v>001610080012</v>
      </c>
      <c r="F132" s="89" t="s">
        <v>404</v>
      </c>
      <c r="G132" s="89" t="s">
        <v>398</v>
      </c>
      <c r="H132" s="89" t="s">
        <v>376</v>
      </c>
      <c r="I132" s="90">
        <v>0</v>
      </c>
      <c r="J132" s="90">
        <v>0</v>
      </c>
      <c r="K132" s="90">
        <v>0</v>
      </c>
      <c r="L132" s="90">
        <v>1</v>
      </c>
      <c r="M132" s="90">
        <v>0</v>
      </c>
    </row>
    <row r="133" spans="3:13" x14ac:dyDescent="0.25">
      <c r="C133" s="30" t="str">
        <f>VLOOKUP(D133,ResCat!$A$2:$B$268,2,FALSE)</f>
        <v>PERMAPD</v>
      </c>
      <c r="D133" s="30" t="str">
        <f>IF(ISNA(VLOOKUP(E133,COA!$A$3:$B$337,2,FALSE)),"XXX",VLOOKUP(E133,COA!$A$3:$B$337,2,FALSE))</f>
        <v>R24</v>
      </c>
      <c r="E133" s="67" t="str">
        <f t="shared" si="5"/>
        <v>001610080037</v>
      </c>
      <c r="F133" s="89" t="s">
        <v>404</v>
      </c>
      <c r="G133" s="89" t="s">
        <v>398</v>
      </c>
      <c r="H133" s="89" t="s">
        <v>399</v>
      </c>
      <c r="I133" s="90">
        <v>0</v>
      </c>
      <c r="J133" s="90">
        <v>0</v>
      </c>
      <c r="K133" s="90">
        <v>0</v>
      </c>
      <c r="L133" s="90">
        <v>419</v>
      </c>
      <c r="M133" s="90">
        <v>0</v>
      </c>
    </row>
    <row r="134" spans="3:13" x14ac:dyDescent="0.25">
      <c r="C134" s="30" t="str">
        <f>VLOOKUP(D134,ResCat!$A$2:$B$268,2,FALSE)</f>
        <v>HMOMG</v>
      </c>
      <c r="D134" s="30" t="str">
        <f>IF(ISNA(VLOOKUP(E134,COA!$A$3:$B$337,2,FALSE)),"XXX",VLOOKUP(E134,COA!$A$3:$B$337,2,FALSE))</f>
        <v>R19</v>
      </c>
      <c r="E134" s="67" t="str">
        <f t="shared" si="5"/>
        <v>001610120012</v>
      </c>
      <c r="F134" s="89" t="s">
        <v>404</v>
      </c>
      <c r="G134" s="89" t="s">
        <v>392</v>
      </c>
      <c r="H134" s="89" t="s">
        <v>376</v>
      </c>
      <c r="I134" s="90">
        <v>5</v>
      </c>
      <c r="J134" s="90">
        <v>0</v>
      </c>
      <c r="K134" s="90">
        <v>5</v>
      </c>
      <c r="L134" s="90">
        <v>5</v>
      </c>
      <c r="M134" s="90">
        <v>0</v>
      </c>
    </row>
    <row r="135" spans="3:13" x14ac:dyDescent="0.25">
      <c r="C135" s="30" t="str">
        <f>VLOOKUP(D135,ResCat!$A$2:$B$268,2,FALSE)</f>
        <v>HMOMG</v>
      </c>
      <c r="D135" s="30" t="str">
        <f>IF(ISNA(VLOOKUP(E135,COA!$A$3:$B$337,2,FALSE)),"XXX",VLOOKUP(E135,COA!$A$3:$B$337,2,FALSE))</f>
        <v>R25</v>
      </c>
      <c r="E135" s="67" t="str">
        <f t="shared" si="5"/>
        <v>001610120064</v>
      </c>
      <c r="F135" s="89" t="s">
        <v>404</v>
      </c>
      <c r="G135" s="89" t="s">
        <v>392</v>
      </c>
      <c r="H135" s="89" t="s">
        <v>405</v>
      </c>
      <c r="I135" s="90">
        <v>23</v>
      </c>
      <c r="J135" s="90">
        <v>0</v>
      </c>
      <c r="K135" s="90">
        <v>23</v>
      </c>
      <c r="L135" s="90">
        <v>23</v>
      </c>
      <c r="M135" s="90">
        <v>0</v>
      </c>
    </row>
    <row r="136" spans="3:13" x14ac:dyDescent="0.25">
      <c r="C136" s="30" t="str">
        <f>VLOOKUP(D136,ResCat!$A$2:$B$268,2,FALSE)</f>
        <v>HMOMG</v>
      </c>
      <c r="D136" s="30" t="str">
        <f>IF(ISNA(VLOOKUP(E136,COA!$A$3:$B$337,2,FALSE)),"XXX",VLOOKUP(E136,COA!$A$3:$B$337,2,FALSE))</f>
        <v>R19</v>
      </c>
      <c r="E136" s="67" t="str">
        <f t="shared" si="5"/>
        <v>001610130012</v>
      </c>
      <c r="F136" s="89" t="s">
        <v>404</v>
      </c>
      <c r="G136" s="89" t="s">
        <v>393</v>
      </c>
      <c r="H136" s="89" t="s">
        <v>376</v>
      </c>
      <c r="I136" s="90">
        <v>166</v>
      </c>
      <c r="J136" s="90">
        <v>0</v>
      </c>
      <c r="K136" s="90">
        <v>166</v>
      </c>
      <c r="L136" s="90">
        <v>0</v>
      </c>
      <c r="M136" s="90">
        <v>0</v>
      </c>
    </row>
    <row r="137" spans="3:13" x14ac:dyDescent="0.25">
      <c r="C137" s="30" t="str">
        <f>VLOOKUP(D137,ResCat!$A$2:$B$268,2,FALSE)</f>
        <v>HMOMM</v>
      </c>
      <c r="D137" s="30" t="str">
        <f>IF(ISNA(VLOOKUP(E137,COA!$A$3:$B$337,2,FALSE)),"XXX",VLOOKUP(E137,COA!$A$3:$B$337,2,FALSE))</f>
        <v>R12</v>
      </c>
      <c r="E137" s="67" t="str">
        <f t="shared" si="5"/>
        <v>001710090012</v>
      </c>
      <c r="F137" s="89" t="s">
        <v>390</v>
      </c>
      <c r="G137" s="89" t="s">
        <v>335</v>
      </c>
      <c r="H137" s="89" t="s">
        <v>376</v>
      </c>
      <c r="I137" s="90">
        <v>83214.03</v>
      </c>
      <c r="J137" s="90">
        <v>13719</v>
      </c>
      <c r="K137" s="90">
        <v>83214.03</v>
      </c>
      <c r="L137" s="90">
        <v>0</v>
      </c>
      <c r="M137" s="90">
        <v>0</v>
      </c>
    </row>
    <row r="138" spans="3:13" x14ac:dyDescent="0.25">
      <c r="C138" s="30" t="str">
        <f>VLOOKUP(D138,ResCat!$A$2:$B$268,2,FALSE)</f>
        <v>HMOMM</v>
      </c>
      <c r="D138" s="30" t="str">
        <f>IF(ISNA(VLOOKUP(E138,COA!$A$3:$B$337,2,FALSE)),"XXX",VLOOKUP(E138,COA!$A$3:$B$337,2,FALSE))</f>
        <v>R15</v>
      </c>
      <c r="E138" s="67" t="str">
        <f t="shared" si="5"/>
        <v>001710090064</v>
      </c>
      <c r="F138" s="89" t="s">
        <v>390</v>
      </c>
      <c r="G138" s="89" t="s">
        <v>335</v>
      </c>
      <c r="H138" s="89" t="s">
        <v>405</v>
      </c>
      <c r="I138" s="90">
        <v>1</v>
      </c>
      <c r="J138" s="90">
        <v>0</v>
      </c>
      <c r="K138" s="90">
        <v>1</v>
      </c>
      <c r="L138" s="90">
        <v>0</v>
      </c>
      <c r="M138" s="90">
        <v>0</v>
      </c>
    </row>
    <row r="139" spans="3:13" x14ac:dyDescent="0.25">
      <c r="C139" s="30" t="str">
        <f>VLOOKUP(D139,ResCat!$A$2:$B$268,2,FALSE)</f>
        <v>PPOMM</v>
      </c>
      <c r="D139" s="30" t="str">
        <f>IF(ISNA(VLOOKUP(E139,COA!$A$3:$B$337,2,FALSE)),"XXX",VLOOKUP(E139,COA!$A$3:$B$337,2,FALSE))</f>
        <v>M71</v>
      </c>
      <c r="E139" s="67" t="str">
        <f t="shared" si="5"/>
        <v>001810020049</v>
      </c>
      <c r="F139" s="89" t="s">
        <v>464</v>
      </c>
      <c r="G139" s="89" t="s">
        <v>380</v>
      </c>
      <c r="H139" s="89" t="s">
        <v>698</v>
      </c>
      <c r="I139" s="90">
        <v>0</v>
      </c>
      <c r="J139" s="90">
        <v>0</v>
      </c>
      <c r="K139" s="90">
        <v>1466</v>
      </c>
      <c r="L139" s="90">
        <v>0</v>
      </c>
      <c r="M139" s="90">
        <v>0</v>
      </c>
    </row>
    <row r="140" spans="3:13" x14ac:dyDescent="0.25">
      <c r="C140" s="30" t="str">
        <f>VLOOKUP(D140,ResCat!$A$2:$B$268,2,FALSE)</f>
        <v>XXX</v>
      </c>
      <c r="D140" s="30" t="str">
        <f>IF(ISNA(VLOOKUP(E140,COA!$A$3:$B$337,2,FALSE)),"XXX",VLOOKUP(E140,COA!$A$3:$B$337,2,FALSE))</f>
        <v>M72</v>
      </c>
      <c r="E140" s="67" t="str">
        <f t="shared" si="5"/>
        <v>001810020050</v>
      </c>
      <c r="F140" s="89" t="s">
        <v>464</v>
      </c>
      <c r="G140" s="89" t="s">
        <v>380</v>
      </c>
      <c r="H140" s="89" t="s">
        <v>701</v>
      </c>
      <c r="I140" s="90">
        <v>0</v>
      </c>
      <c r="J140" s="90">
        <v>0</v>
      </c>
      <c r="K140" s="90">
        <v>8</v>
      </c>
      <c r="L140" s="90">
        <v>0</v>
      </c>
      <c r="M140" s="90">
        <v>0</v>
      </c>
    </row>
    <row r="141" spans="3:13" x14ac:dyDescent="0.25">
      <c r="C141" s="30" t="str">
        <f>VLOOKUP(D141,ResCat!$A$2:$B$268,2,FALSE)</f>
        <v>PPOMM</v>
      </c>
      <c r="D141" s="30" t="str">
        <f>IF(ISNA(VLOOKUP(E141,COA!$A$3:$B$337,2,FALSE)),"XXX",VLOOKUP(E141,COA!$A$3:$B$337,2,FALSE))</f>
        <v>M71</v>
      </c>
      <c r="E141" s="67" t="str">
        <f t="shared" si="5"/>
        <v>001810030049</v>
      </c>
      <c r="F141" s="89" t="s">
        <v>464</v>
      </c>
      <c r="G141" s="89" t="s">
        <v>381</v>
      </c>
      <c r="H141" s="89" t="s">
        <v>698</v>
      </c>
      <c r="I141" s="90">
        <v>0</v>
      </c>
      <c r="J141" s="90">
        <v>0</v>
      </c>
      <c r="K141" s="90">
        <v>2998</v>
      </c>
      <c r="L141" s="90">
        <v>0</v>
      </c>
      <c r="M141" s="90">
        <v>0</v>
      </c>
    </row>
    <row r="142" spans="3:13" x14ac:dyDescent="0.25">
      <c r="C142" s="30" t="str">
        <f>VLOOKUP(D142,ResCat!$A$2:$B$268,2,FALSE)</f>
        <v>PPOMM</v>
      </c>
      <c r="D142" s="30" t="str">
        <f>IF(ISNA(VLOOKUP(E142,COA!$A$3:$B$337,2,FALSE)),"XXX",VLOOKUP(E142,COA!$A$3:$B$337,2,FALSE))</f>
        <v>M74</v>
      </c>
      <c r="E142" s="67" t="str">
        <f t="shared" si="5"/>
        <v>001810040049</v>
      </c>
      <c r="F142" s="89" t="s">
        <v>464</v>
      </c>
      <c r="G142" s="89" t="s">
        <v>382</v>
      </c>
      <c r="H142" s="89" t="s">
        <v>698</v>
      </c>
      <c r="I142" s="90">
        <v>0</v>
      </c>
      <c r="J142" s="90">
        <v>0</v>
      </c>
      <c r="K142" s="90">
        <v>204</v>
      </c>
      <c r="L142" s="90">
        <v>0</v>
      </c>
      <c r="M142" s="90">
        <v>0</v>
      </c>
    </row>
    <row r="143" spans="3:13" x14ac:dyDescent="0.25">
      <c r="C143" s="30" t="str">
        <f>VLOOKUP(D143,ResCat!$A$2:$B$268,2,FALSE)</f>
        <v>PPOMM</v>
      </c>
      <c r="D143" s="30" t="str">
        <f>IF(ISNA(VLOOKUP(E143,COA!$A$3:$B$337,2,FALSE)),"XXX",VLOOKUP(E143,COA!$A$3:$B$337,2,FALSE))</f>
        <v>M74</v>
      </c>
      <c r="E143" s="67" t="str">
        <f t="shared" si="5"/>
        <v>001810050049</v>
      </c>
      <c r="F143" s="89" t="s">
        <v>464</v>
      </c>
      <c r="G143" s="89" t="s">
        <v>385</v>
      </c>
      <c r="H143" s="89" t="s">
        <v>698</v>
      </c>
      <c r="I143" s="90">
        <v>0</v>
      </c>
      <c r="J143" s="90">
        <v>0</v>
      </c>
      <c r="K143" s="90">
        <v>152</v>
      </c>
      <c r="L143" s="90">
        <v>0</v>
      </c>
      <c r="M143" s="90">
        <v>0</v>
      </c>
    </row>
    <row r="144" spans="3:13" x14ac:dyDescent="0.25">
      <c r="C144" s="30" t="str">
        <f>VLOOKUP(D144,ResCat!$A$2:$B$268,2,FALSE)</f>
        <v>PPOMM</v>
      </c>
      <c r="D144" s="30" t="str">
        <f>IF(ISNA(VLOOKUP(E144,COA!$A$3:$B$337,2,FALSE)),"XXX",VLOOKUP(E144,COA!$A$3:$B$337,2,FALSE))</f>
        <v>M61</v>
      </c>
      <c r="E144" s="67" t="str">
        <f t="shared" si="5"/>
        <v>001810090045</v>
      </c>
      <c r="F144" s="89" t="s">
        <v>464</v>
      </c>
      <c r="G144" s="89" t="s">
        <v>335</v>
      </c>
      <c r="H144" s="89" t="s">
        <v>693</v>
      </c>
      <c r="I144" s="90">
        <v>0</v>
      </c>
      <c r="J144" s="90">
        <v>0</v>
      </c>
      <c r="K144" s="90">
        <v>9042</v>
      </c>
      <c r="L144" s="90">
        <v>0</v>
      </c>
      <c r="M144" s="90">
        <v>0</v>
      </c>
    </row>
    <row r="145" spans="3:13" x14ac:dyDescent="0.25">
      <c r="C145" s="30" t="str">
        <f>VLOOKUP(D145,ResCat!$A$2:$B$268,2,FALSE)</f>
        <v>PPOMM</v>
      </c>
      <c r="D145" s="30" t="str">
        <f>IF(ISNA(VLOOKUP(E145,COA!$A$3:$B$337,2,FALSE)),"XXX",VLOOKUP(E145,COA!$A$3:$B$337,2,FALSE))</f>
        <v>M92</v>
      </c>
      <c r="E145" s="67" t="str">
        <f t="shared" si="5"/>
        <v>001810090046</v>
      </c>
      <c r="F145" s="89" t="s">
        <v>464</v>
      </c>
      <c r="G145" s="89" t="s">
        <v>335</v>
      </c>
      <c r="H145" s="89" t="s">
        <v>712</v>
      </c>
      <c r="I145" s="90">
        <v>0</v>
      </c>
      <c r="J145" s="90">
        <v>0</v>
      </c>
      <c r="K145" s="90">
        <v>30512.969999999998</v>
      </c>
      <c r="L145" s="90">
        <v>0</v>
      </c>
      <c r="M145" s="90">
        <v>0</v>
      </c>
    </row>
    <row r="146" spans="3:13" x14ac:dyDescent="0.25">
      <c r="C146" s="30" t="str">
        <f>VLOOKUP(D146,ResCat!$A$2:$B$268,2,FALSE)</f>
        <v>PPOMM</v>
      </c>
      <c r="D146" s="30" t="str">
        <f>IF(ISNA(VLOOKUP(E146,COA!$A$3:$B$337,2,FALSE)),"XXX",VLOOKUP(E146,COA!$A$3:$B$337,2,FALSE))</f>
        <v>M61</v>
      </c>
      <c r="E146" s="67" t="str">
        <f t="shared" si="5"/>
        <v>001810090060</v>
      </c>
      <c r="F146" s="89" t="s">
        <v>464</v>
      </c>
      <c r="G146" s="89" t="s">
        <v>335</v>
      </c>
      <c r="H146" s="89" t="s">
        <v>695</v>
      </c>
      <c r="I146" s="90">
        <v>0</v>
      </c>
      <c r="J146" s="90">
        <v>0</v>
      </c>
      <c r="K146" s="90">
        <v>2877.42</v>
      </c>
      <c r="L146" s="90">
        <v>0</v>
      </c>
      <c r="M146" s="90">
        <v>0</v>
      </c>
    </row>
    <row r="147" spans="3:13" x14ac:dyDescent="0.25">
      <c r="C147" s="30" t="str">
        <f>VLOOKUP(D147,ResCat!$A$2:$B$268,2,FALSE)</f>
        <v>PPOMM</v>
      </c>
      <c r="D147" s="30" t="str">
        <f>IF(ISNA(VLOOKUP(E147,COA!$A$3:$B$337,2,FALSE)),"XXX",VLOOKUP(E147,COA!$A$3:$B$337,2,FALSE))</f>
        <v>M71</v>
      </c>
      <c r="E147" s="67" t="str">
        <f t="shared" si="5"/>
        <v>001810120049</v>
      </c>
      <c r="F147" s="89" t="s">
        <v>464</v>
      </c>
      <c r="G147" s="89" t="s">
        <v>392</v>
      </c>
      <c r="H147" s="89" t="s">
        <v>698</v>
      </c>
      <c r="I147" s="90">
        <v>0</v>
      </c>
      <c r="J147" s="90">
        <v>0</v>
      </c>
      <c r="K147" s="90">
        <v>1030</v>
      </c>
      <c r="L147" s="90">
        <v>0</v>
      </c>
      <c r="M147" s="90">
        <v>0</v>
      </c>
    </row>
    <row r="148" spans="3:13" x14ac:dyDescent="0.25">
      <c r="C148" s="30" t="str">
        <f>VLOOKUP(D148,ResCat!$A$2:$B$268,2,FALSE)</f>
        <v>XXX</v>
      </c>
      <c r="D148" s="30" t="str">
        <f>IF(ISNA(VLOOKUP(E148,COA!$A$3:$B$337,2,FALSE)),"XXX",VLOOKUP(E148,COA!$A$3:$B$337,2,FALSE))</f>
        <v>M72</v>
      </c>
      <c r="E148" s="67" t="str">
        <f t="shared" si="5"/>
        <v>001810130050</v>
      </c>
      <c r="F148" s="89" t="s">
        <v>464</v>
      </c>
      <c r="G148" s="89" t="s">
        <v>393</v>
      </c>
      <c r="H148" s="89" t="s">
        <v>701</v>
      </c>
      <c r="I148" s="90">
        <v>0</v>
      </c>
      <c r="J148" s="90">
        <v>0</v>
      </c>
      <c r="K148" s="90">
        <v>76</v>
      </c>
      <c r="L148" s="90">
        <v>0</v>
      </c>
      <c r="M148" s="90">
        <v>0</v>
      </c>
    </row>
    <row r="149" spans="3:13" x14ac:dyDescent="0.25">
      <c r="C149" s="30" t="str">
        <f>VLOOKUP(D149,ResCat!$A$2:$B$268,2,FALSE)</f>
        <v>PPOMM</v>
      </c>
      <c r="D149" s="30" t="str">
        <f>IF(ISNA(VLOOKUP(E149,COA!$A$3:$B$337,2,FALSE)),"XXX",VLOOKUP(E149,COA!$A$3:$B$337,2,FALSE))</f>
        <v>M77</v>
      </c>
      <c r="E149" s="67" t="str">
        <f t="shared" si="5"/>
        <v>001810140049</v>
      </c>
      <c r="F149" s="89" t="s">
        <v>464</v>
      </c>
      <c r="G149" s="89" t="s">
        <v>401</v>
      </c>
      <c r="H149" s="89" t="s">
        <v>698</v>
      </c>
      <c r="I149" s="90">
        <v>0</v>
      </c>
      <c r="J149" s="90">
        <v>0</v>
      </c>
      <c r="K149" s="90">
        <v>430</v>
      </c>
      <c r="L149" s="90">
        <v>1</v>
      </c>
      <c r="M149" s="90">
        <v>0</v>
      </c>
    </row>
    <row r="150" spans="3:13" x14ac:dyDescent="0.25">
      <c r="C150" s="30" t="str">
        <f>VLOOKUP(D150,ResCat!$A$2:$B$268,2,FALSE)</f>
        <v>HMOPERA</v>
      </c>
      <c r="D150" s="30" t="str">
        <f>IF(ISNA(VLOOKUP(E150,COA!$A$3:$B$337,2,FALSE)),"XXX",VLOOKUP(E150,COA!$A$3:$B$337,2,FALSE))</f>
        <v>P53</v>
      </c>
      <c r="E150" s="67" t="str">
        <f t="shared" si="5"/>
        <v>001910080031</v>
      </c>
      <c r="F150" s="89" t="s">
        <v>406</v>
      </c>
      <c r="G150" s="89" t="s">
        <v>398</v>
      </c>
      <c r="H150" s="89" t="s">
        <v>407</v>
      </c>
      <c r="I150" s="90">
        <v>1080.51</v>
      </c>
      <c r="J150" s="90">
        <v>0</v>
      </c>
      <c r="K150" s="90">
        <v>1080.51</v>
      </c>
      <c r="L150" s="90">
        <v>0</v>
      </c>
      <c r="M150" s="90">
        <v>0</v>
      </c>
    </row>
    <row r="151" spans="3:13" x14ac:dyDescent="0.25">
      <c r="C151" s="30" t="str">
        <f>VLOOKUP(D151,ResCat!$A$2:$B$268,2,FALSE)</f>
        <v>PERMEDA</v>
      </c>
      <c r="D151" s="30" t="str">
        <f>IF(ISNA(VLOOKUP(E151,COA!$A$3:$B$337,2,FALSE)),"XXX",VLOOKUP(E151,COA!$A$3:$B$337,2,FALSE))</f>
        <v>P58</v>
      </c>
      <c r="E151" s="67" t="str">
        <f t="shared" si="5"/>
        <v>001910080032</v>
      </c>
      <c r="F151" s="89" t="s">
        <v>406</v>
      </c>
      <c r="G151" s="89" t="s">
        <v>398</v>
      </c>
      <c r="H151" s="89" t="s">
        <v>763</v>
      </c>
      <c r="I151" s="90">
        <v>0</v>
      </c>
      <c r="J151" s="90">
        <v>0</v>
      </c>
      <c r="K151" s="90">
        <v>0</v>
      </c>
      <c r="L151" s="90">
        <v>0</v>
      </c>
      <c r="M151" s="90">
        <v>0</v>
      </c>
    </row>
    <row r="152" spans="3:13" x14ac:dyDescent="0.25">
      <c r="C152" s="30" t="str">
        <f>VLOOKUP(D152,ResCat!$A$2:$B$268,2,FALSE)</f>
        <v>PPOFEP</v>
      </c>
      <c r="D152" s="30" t="str">
        <f>IF(ISNA(VLOOKUP(E152,COA!$A$3:$B$337,2,FALSE)),"XXX",VLOOKUP(E152,COA!$A$3:$B$337,2,FALSE))</f>
        <v>F51</v>
      </c>
      <c r="E152" s="67" t="str">
        <f t="shared" si="5"/>
        <v>002110000036</v>
      </c>
      <c r="F152" s="89" t="s">
        <v>377</v>
      </c>
      <c r="G152" s="89" t="s">
        <v>329</v>
      </c>
      <c r="H152" s="89" t="s">
        <v>408</v>
      </c>
      <c r="I152" s="90">
        <v>0</v>
      </c>
      <c r="J152" s="90">
        <v>63.41</v>
      </c>
      <c r="K152" s="90">
        <v>0</v>
      </c>
      <c r="L152" s="90">
        <v>0</v>
      </c>
      <c r="M152" s="90">
        <v>0</v>
      </c>
    </row>
    <row r="153" spans="3:13" x14ac:dyDescent="0.25">
      <c r="C153" s="30" t="str">
        <f>VLOOKUP(D153,ResCat!$A$2:$B$268,2,FALSE)</f>
        <v>PPOFEP</v>
      </c>
      <c r="D153" s="30" t="str">
        <f>IF(ISNA(VLOOKUP(E153,COA!$A$3:$B$337,2,FALSE)),"XXX",VLOOKUP(E153,COA!$A$3:$B$337,2,FALSE))</f>
        <v>F51</v>
      </c>
      <c r="E153" s="67" t="str">
        <f t="shared" si="5"/>
        <v>002210000036</v>
      </c>
      <c r="F153" s="89" t="s">
        <v>378</v>
      </c>
      <c r="G153" s="89" t="s">
        <v>329</v>
      </c>
      <c r="H153" s="89" t="s">
        <v>408</v>
      </c>
      <c r="I153" s="90">
        <v>135115.97999999646</v>
      </c>
      <c r="J153" s="90">
        <v>135097.46999999648</v>
      </c>
      <c r="K153" s="90">
        <v>0</v>
      </c>
      <c r="L153" s="90">
        <v>0</v>
      </c>
      <c r="M153" s="90">
        <v>0</v>
      </c>
    </row>
    <row r="154" spans="3:13" x14ac:dyDescent="0.25">
      <c r="C154" s="30" t="str">
        <f>VLOOKUP(D154,ResCat!$A$2:$B$268,2,FALSE)</f>
        <v>XXX</v>
      </c>
      <c r="D154" s="30" t="str">
        <f>IF(ISNA(VLOOKUP(E154,COA!$A$3:$B$337,2,FALSE)),"XXX",VLOOKUP(E154,COA!$A$3:$B$337,2,FALSE))</f>
        <v>L45</v>
      </c>
      <c r="E154" s="67" t="str">
        <f t="shared" si="5"/>
        <v>002510020058</v>
      </c>
      <c r="F154" s="89" t="s">
        <v>409</v>
      </c>
      <c r="G154" s="89" t="s">
        <v>380</v>
      </c>
      <c r="H154" s="89" t="s">
        <v>410</v>
      </c>
      <c r="I154" s="90">
        <v>16544.599999999999</v>
      </c>
      <c r="J154" s="90">
        <v>0</v>
      </c>
      <c r="K154" s="90">
        <v>0</v>
      </c>
      <c r="L154" s="90">
        <v>0</v>
      </c>
      <c r="M154" s="90">
        <v>0</v>
      </c>
    </row>
    <row r="155" spans="3:13" x14ac:dyDescent="0.25">
      <c r="C155" s="30" t="str">
        <f>VLOOKUP(D155,ResCat!$A$2:$B$268,2,FALSE)</f>
        <v>XXX</v>
      </c>
      <c r="D155" s="30" t="str">
        <f>IF(ISNA(VLOOKUP(E155,COA!$A$3:$B$337,2,FALSE)),"XXX",VLOOKUP(E155,COA!$A$3:$B$337,2,FALSE))</f>
        <v>N45</v>
      </c>
      <c r="E155" s="67" t="str">
        <f t="shared" si="5"/>
        <v>002510030058</v>
      </c>
      <c r="F155" s="89" t="s">
        <v>409</v>
      </c>
      <c r="G155" s="89" t="s">
        <v>381</v>
      </c>
      <c r="H155" s="89" t="s">
        <v>410</v>
      </c>
      <c r="I155" s="90">
        <v>163450.79000000053</v>
      </c>
      <c r="J155" s="90">
        <v>0</v>
      </c>
      <c r="K155" s="90">
        <v>20361.249999999996</v>
      </c>
      <c r="L155" s="90">
        <v>0</v>
      </c>
      <c r="M155" s="90">
        <v>0</v>
      </c>
    </row>
    <row r="156" spans="3:13" x14ac:dyDescent="0.25">
      <c r="C156" s="30" t="str">
        <f>VLOOKUP(D156,ResCat!$A$2:$B$268,2,FALSE)</f>
        <v>XXX</v>
      </c>
      <c r="D156" s="30" t="str">
        <f>IF(ISNA(VLOOKUP(E156,COA!$A$3:$B$337,2,FALSE)),"XXX",VLOOKUP(E156,COA!$A$3:$B$337,2,FALSE))</f>
        <v>L44</v>
      </c>
      <c r="E156" s="67" t="str">
        <f t="shared" si="5"/>
        <v>002510040058</v>
      </c>
      <c r="F156" s="89" t="s">
        <v>409</v>
      </c>
      <c r="G156" s="89" t="s">
        <v>382</v>
      </c>
      <c r="H156" s="89" t="s">
        <v>410</v>
      </c>
      <c r="I156" s="90">
        <v>20886.98</v>
      </c>
      <c r="J156" s="90">
        <v>0</v>
      </c>
      <c r="K156" s="90">
        <v>0</v>
      </c>
      <c r="L156" s="90">
        <v>34</v>
      </c>
      <c r="M156" s="90">
        <v>0</v>
      </c>
    </row>
    <row r="157" spans="3:13" x14ac:dyDescent="0.25">
      <c r="C157" s="30" t="str">
        <f>VLOOKUP(D157,ResCat!$A$2:$B$268,2,FALSE)</f>
        <v>XXX</v>
      </c>
      <c r="D157" s="30" t="str">
        <f>IF(ISNA(VLOOKUP(E157,COA!$A$3:$B$337,2,FALSE)),"XXX",VLOOKUP(E157,COA!$A$3:$B$337,2,FALSE))</f>
        <v>N46</v>
      </c>
      <c r="E157" s="67" t="str">
        <f t="shared" si="5"/>
        <v>002510050058</v>
      </c>
      <c r="F157" s="89" t="s">
        <v>409</v>
      </c>
      <c r="G157" s="89" t="s">
        <v>385</v>
      </c>
      <c r="H157" s="89" t="s">
        <v>410</v>
      </c>
      <c r="I157" s="90">
        <v>22175.950000000004</v>
      </c>
      <c r="J157" s="90">
        <v>0</v>
      </c>
      <c r="K157" s="90">
        <v>0</v>
      </c>
      <c r="L157" s="90">
        <v>0</v>
      </c>
      <c r="M157" s="90">
        <v>0</v>
      </c>
    </row>
    <row r="158" spans="3:13" x14ac:dyDescent="0.25">
      <c r="C158" s="30" t="str">
        <f>VLOOKUP(D158,ResCat!$A$2:$B$268,2,FALSE)</f>
        <v>XXX</v>
      </c>
      <c r="D158" s="30" t="str">
        <f>IF(ISNA(VLOOKUP(E158,COA!$A$3:$B$337,2,FALSE)),"XXX",VLOOKUP(E158,COA!$A$3:$B$337,2,FALSE))</f>
        <v>L45</v>
      </c>
      <c r="E158" s="67" t="str">
        <f t="shared" ref="E158:E162" si="6">F158&amp;G158&amp;H158</f>
        <v>002610020058</v>
      </c>
      <c r="F158" s="89" t="s">
        <v>411</v>
      </c>
      <c r="G158" s="89" t="s">
        <v>380</v>
      </c>
      <c r="H158" s="89" t="s">
        <v>410</v>
      </c>
      <c r="I158" s="90">
        <v>61480.880000000012</v>
      </c>
      <c r="J158" s="90">
        <v>0</v>
      </c>
      <c r="K158" s="90">
        <v>0</v>
      </c>
      <c r="L158" s="90">
        <v>0</v>
      </c>
      <c r="M158" s="90">
        <v>0</v>
      </c>
    </row>
    <row r="159" spans="3:13" x14ac:dyDescent="0.25">
      <c r="C159" s="30" t="str">
        <f>VLOOKUP(D159,ResCat!$A$2:$B$268,2,FALSE)</f>
        <v>XXX</v>
      </c>
      <c r="D159" s="30" t="str">
        <f>IF(ISNA(VLOOKUP(E159,COA!$A$3:$B$337,2,FALSE)),"XXX",VLOOKUP(E159,COA!$A$3:$B$337,2,FALSE))</f>
        <v>N45</v>
      </c>
      <c r="E159" s="67" t="str">
        <f t="shared" si="6"/>
        <v>002610030058</v>
      </c>
      <c r="F159" s="89" t="s">
        <v>411</v>
      </c>
      <c r="G159" s="89" t="s">
        <v>381</v>
      </c>
      <c r="H159" s="89" t="s">
        <v>410</v>
      </c>
      <c r="I159" s="90">
        <v>42604.26</v>
      </c>
      <c r="J159" s="90">
        <v>0</v>
      </c>
      <c r="K159" s="90">
        <v>0</v>
      </c>
      <c r="L159" s="90">
        <v>0</v>
      </c>
      <c r="M159" s="90">
        <v>0</v>
      </c>
    </row>
    <row r="160" spans="3:13" x14ac:dyDescent="0.25">
      <c r="C160" s="30" t="str">
        <f>VLOOKUP(D160,ResCat!$A$2:$B$268,2,FALSE)</f>
        <v>XXX</v>
      </c>
      <c r="D160" s="30" t="str">
        <f>IF(ISNA(VLOOKUP(E160,COA!$A$3:$B$337,2,FALSE)),"XXX",VLOOKUP(E160,COA!$A$3:$B$337,2,FALSE))</f>
        <v>L44</v>
      </c>
      <c r="E160" s="67" t="str">
        <f t="shared" si="6"/>
        <v>002610040058</v>
      </c>
      <c r="F160" s="89" t="s">
        <v>411</v>
      </c>
      <c r="G160" s="89" t="s">
        <v>382</v>
      </c>
      <c r="H160" s="89" t="s">
        <v>410</v>
      </c>
      <c r="I160" s="90">
        <v>4364.71</v>
      </c>
      <c r="J160" s="90">
        <v>0</v>
      </c>
      <c r="K160" s="90">
        <v>0</v>
      </c>
      <c r="L160" s="90">
        <v>0</v>
      </c>
      <c r="M160" s="90">
        <v>0</v>
      </c>
    </row>
    <row r="161" spans="3:13" x14ac:dyDescent="0.25">
      <c r="C161" s="30" t="str">
        <f>VLOOKUP(D161,ResCat!$A$2:$B$268,2,FALSE)</f>
        <v>XXX</v>
      </c>
      <c r="D161" s="30" t="str">
        <f>IF(ISNA(VLOOKUP(E161,COA!$A$3:$B$337,2,FALSE)),"XXX",VLOOKUP(E161,COA!$A$3:$B$337,2,FALSE))</f>
        <v>N46</v>
      </c>
      <c r="E161" s="67" t="str">
        <f t="shared" si="6"/>
        <v>002610050058</v>
      </c>
      <c r="F161" s="89" t="s">
        <v>411</v>
      </c>
      <c r="G161" s="89" t="s">
        <v>385</v>
      </c>
      <c r="H161" s="89" t="s">
        <v>410</v>
      </c>
      <c r="I161" s="90">
        <v>5633.72</v>
      </c>
      <c r="J161" s="90">
        <v>0</v>
      </c>
      <c r="K161" s="90">
        <v>0</v>
      </c>
      <c r="L161" s="90">
        <v>0</v>
      </c>
      <c r="M161" s="90">
        <v>0</v>
      </c>
    </row>
    <row r="162" spans="3:13" x14ac:dyDescent="0.25">
      <c r="C162" s="30" t="str">
        <f>VLOOKUP(D162,ResCat!$A$2:$B$268,2,FALSE)</f>
        <v>XXX</v>
      </c>
      <c r="D162" s="30" t="str">
        <f>IF(ISNA(VLOOKUP(E162,COA!$A$3:$B$337,2,FALSE)),"XXX",VLOOKUP(E162,COA!$A$3:$B$337,2,FALSE))</f>
        <v>L45</v>
      </c>
      <c r="E162" s="67" t="str">
        <f t="shared" si="6"/>
        <v>002710020058</v>
      </c>
      <c r="F162" s="89" t="s">
        <v>412</v>
      </c>
      <c r="G162" s="89" t="s">
        <v>380</v>
      </c>
      <c r="H162" s="89" t="s">
        <v>410</v>
      </c>
      <c r="I162" s="90">
        <v>38218.89</v>
      </c>
      <c r="J162" s="90">
        <v>0</v>
      </c>
      <c r="K162" s="90">
        <v>0</v>
      </c>
      <c r="L162" s="90">
        <v>0</v>
      </c>
      <c r="M162" s="90">
        <v>0</v>
      </c>
    </row>
    <row r="163" spans="3:13" x14ac:dyDescent="0.25">
      <c r="C163" s="30" t="str">
        <f>VLOOKUP(D163,ResCat!$A$2:$B$268,2,FALSE)</f>
        <v>XXX</v>
      </c>
      <c r="D163" s="30" t="str">
        <f>IF(ISNA(VLOOKUP(E163,COA!$A$3:$B$337,2,FALSE)),"XXX",VLOOKUP(E163,COA!$A$3:$B$337,2,FALSE))</f>
        <v>L45</v>
      </c>
      <c r="E163" s="67" t="str">
        <f t="shared" ref="E163:E165" si="7">F163&amp;G163&amp;H163</f>
        <v>002810020058</v>
      </c>
      <c r="F163" s="89" t="s">
        <v>413</v>
      </c>
      <c r="G163" s="89" t="s">
        <v>380</v>
      </c>
      <c r="H163" s="89" t="s">
        <v>410</v>
      </c>
      <c r="I163" s="90">
        <v>32088.17</v>
      </c>
      <c r="J163" s="90">
        <v>0</v>
      </c>
      <c r="K163" s="90">
        <v>0</v>
      </c>
      <c r="L163" s="90">
        <v>0</v>
      </c>
      <c r="M163" s="90">
        <v>0</v>
      </c>
    </row>
    <row r="164" spans="3:13" x14ac:dyDescent="0.25">
      <c r="C164" s="30" t="str">
        <f>VLOOKUP(D164,ResCat!$A$2:$B$268,2,FALSE)</f>
        <v>PPOFEP</v>
      </c>
      <c r="D164" s="30" t="str">
        <f>IF(ISNA(VLOOKUP(E164,COA!$A$3:$B$337,2,FALSE)),"XXX",VLOOKUP(E164,COA!$A$3:$B$337,2,FALSE))</f>
        <v>F51</v>
      </c>
      <c r="E164" s="67" t="str">
        <f t="shared" si="7"/>
        <v>002910000012</v>
      </c>
      <c r="F164" s="89" t="s">
        <v>571</v>
      </c>
      <c r="G164" s="89" t="s">
        <v>329</v>
      </c>
      <c r="H164" s="89" t="s">
        <v>376</v>
      </c>
      <c r="I164" s="90">
        <v>0</v>
      </c>
      <c r="J164" s="90">
        <v>23</v>
      </c>
      <c r="K164" s="90">
        <v>0</v>
      </c>
      <c r="L164" s="90">
        <v>0</v>
      </c>
      <c r="M164" s="90">
        <v>0</v>
      </c>
    </row>
    <row r="165" spans="3:13" x14ac:dyDescent="0.25">
      <c r="C165" s="30" t="str">
        <f>VLOOKUP(D165,ResCat!$A$2:$B$268,2,FALSE)</f>
        <v>PPOFEP</v>
      </c>
      <c r="D165" s="30" t="str">
        <f>IF(ISNA(VLOOKUP(E165,COA!$A$3:$B$337,2,FALSE)),"XXX",VLOOKUP(E165,COA!$A$3:$B$337,2,FALSE))</f>
        <v>F51</v>
      </c>
      <c r="E165" s="67" t="str">
        <f t="shared" si="7"/>
        <v>003010000012</v>
      </c>
      <c r="F165" s="89" t="s">
        <v>414</v>
      </c>
      <c r="G165" s="89" t="s">
        <v>329</v>
      </c>
      <c r="H165" s="89" t="s">
        <v>376</v>
      </c>
      <c r="I165" s="90">
        <v>129748.8800000004</v>
      </c>
      <c r="J165" s="90">
        <v>129735.72000000039</v>
      </c>
      <c r="K165" s="90">
        <v>0</v>
      </c>
      <c r="L165" s="90">
        <v>0</v>
      </c>
      <c r="M165" s="90">
        <v>0</v>
      </c>
    </row>
    <row r="166" spans="3:13" x14ac:dyDescent="0.25">
      <c r="C166" s="30" t="str">
        <f>VLOOKUP(D166,ResCat!$A$2:$B$268,2,FALSE)</f>
        <v>HMOFEP</v>
      </c>
      <c r="D166" s="30" t="str">
        <f>IF(ISNA(VLOOKUP(E166,COA!$A$3:$B$337,2,FALSE)),"XXX",VLOOKUP(E166,COA!$A$3:$B$337,2,FALSE))</f>
        <v>F27</v>
      </c>
      <c r="E166" s="67" t="str">
        <f t="shared" ref="E166" si="8">F166&amp;G166&amp;H166</f>
        <v>003110000012</v>
      </c>
      <c r="F166" s="89" t="s">
        <v>407</v>
      </c>
      <c r="G166" s="89" t="s">
        <v>329</v>
      </c>
      <c r="H166" s="89" t="s">
        <v>376</v>
      </c>
      <c r="I166" s="90">
        <v>18809.800000000007</v>
      </c>
      <c r="J166" s="90">
        <v>0</v>
      </c>
      <c r="K166" s="90">
        <v>18809.800000000007</v>
      </c>
      <c r="L166" s="90">
        <v>18809.800000000007</v>
      </c>
      <c r="M166" s="90">
        <v>0</v>
      </c>
    </row>
    <row r="167" spans="3:13" x14ac:dyDescent="0.25">
      <c r="C167" s="30"/>
      <c r="D167" s="30"/>
      <c r="E167" s="67"/>
      <c r="F167" s="109"/>
      <c r="G167" s="109"/>
      <c r="H167" s="109"/>
      <c r="I167" s="110"/>
      <c r="J167" s="110"/>
      <c r="K167" s="110"/>
      <c r="L167" s="110"/>
      <c r="M167" s="110"/>
    </row>
    <row r="168" spans="3:13" x14ac:dyDescent="0.25">
      <c r="C168" s="30"/>
      <c r="D168" s="30"/>
      <c r="E168" s="67"/>
      <c r="F168" s="89"/>
      <c r="G168" s="89"/>
      <c r="H168" s="89"/>
      <c r="I168" s="90"/>
      <c r="J168" s="90"/>
      <c r="K168" s="90"/>
      <c r="L168" s="90"/>
      <c r="M168" s="90"/>
    </row>
    <row r="169" spans="3:13" x14ac:dyDescent="0.25">
      <c r="C169" s="30"/>
      <c r="D169" s="30"/>
      <c r="E169" s="67"/>
      <c r="F169" s="89"/>
      <c r="G169" s="89"/>
      <c r="H169" s="89"/>
      <c r="I169" s="90"/>
      <c r="J169" s="90"/>
      <c r="K169" s="90"/>
      <c r="L169" s="90"/>
      <c r="M169" s="90"/>
    </row>
    <row r="170" spans="3:13" x14ac:dyDescent="0.25">
      <c r="C170" s="30"/>
      <c r="D170" s="30"/>
      <c r="E170" s="67"/>
      <c r="F170" s="89"/>
      <c r="G170" s="89"/>
      <c r="H170" s="89"/>
      <c r="I170" s="90"/>
      <c r="J170" s="90"/>
      <c r="K170" s="90"/>
      <c r="L170" s="90"/>
      <c r="M170" s="90"/>
    </row>
    <row r="171" spans="3:13" x14ac:dyDescent="0.25">
      <c r="C171" s="30"/>
      <c r="D171" s="30"/>
      <c r="E171" s="67"/>
      <c r="F171" s="89"/>
      <c r="G171" s="89"/>
      <c r="H171" s="89"/>
      <c r="I171" s="90"/>
      <c r="J171" s="90"/>
      <c r="K171" s="90"/>
      <c r="L171" s="90"/>
      <c r="M171" s="90"/>
    </row>
    <row r="172" spans="3:13" x14ac:dyDescent="0.25">
      <c r="C172" s="30"/>
      <c r="D172" s="30"/>
      <c r="E172" s="67"/>
      <c r="F172" s="89"/>
      <c r="G172" s="89"/>
      <c r="H172" s="89"/>
      <c r="I172" s="90"/>
      <c r="J172" s="90"/>
      <c r="K172" s="90"/>
      <c r="L172" s="90"/>
      <c r="M172" s="90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J425"/>
  <sheetViews>
    <sheetView showGridLines="0" zoomScale="90" zoomScaleNormal="90" workbookViewId="0"/>
  </sheetViews>
  <sheetFormatPr defaultRowHeight="15" x14ac:dyDescent="0.25"/>
  <cols>
    <col min="1" max="1" width="99.42578125" style="98" bestFit="1" customWidth="1"/>
    <col min="2" max="2" width="5.85546875" style="98" customWidth="1"/>
    <col min="3" max="3" width="10" style="98" bestFit="1" customWidth="1"/>
    <col min="4" max="4" width="11.7109375" style="98" customWidth="1"/>
    <col min="5" max="5" width="15.85546875" style="98" bestFit="1" customWidth="1"/>
    <col min="6" max="6" width="16.42578125" style="98" bestFit="1" customWidth="1"/>
    <col min="7" max="7" width="17.5703125" style="98" bestFit="1" customWidth="1"/>
    <col min="8" max="8" width="12.85546875" style="98" bestFit="1" customWidth="1"/>
    <col min="9" max="10" width="12.140625" style="98" bestFit="1" customWidth="1"/>
    <col min="11" max="16384" width="9.140625" style="98"/>
  </cols>
  <sheetData>
    <row r="1" spans="1:10" x14ac:dyDescent="0.25">
      <c r="A1" s="15" t="s">
        <v>925</v>
      </c>
      <c r="F1" s="101">
        <v>43160.387861689815</v>
      </c>
    </row>
    <row r="2" spans="1:10" x14ac:dyDescent="0.25">
      <c r="A2" s="47" t="s">
        <v>340</v>
      </c>
      <c r="C2" s="56" t="s">
        <v>10</v>
      </c>
      <c r="D2" s="56" t="s">
        <v>859</v>
      </c>
      <c r="E2" s="56" t="s">
        <v>367</v>
      </c>
      <c r="F2" s="53" t="s">
        <v>869</v>
      </c>
      <c r="G2" s="53" t="s">
        <v>367</v>
      </c>
      <c r="H2" s="53" t="s">
        <v>368</v>
      </c>
      <c r="I2" s="53" t="s">
        <v>369</v>
      </c>
      <c r="J2" s="53" t="s">
        <v>926</v>
      </c>
    </row>
    <row r="3" spans="1:10" x14ac:dyDescent="0.25">
      <c r="A3" s="48" t="s">
        <v>341</v>
      </c>
      <c r="C3" s="29" t="str">
        <f>VLOOKUP(D3,[1]ResCat!$A$2:$B$268,2,FALSE)</f>
        <v>XXX</v>
      </c>
      <c r="D3" s="29" t="str">
        <f>IF(ISNA(VLOOKUP(E3,[1]COA!$A$3:$B$337,2,FALSE)),"XXX",VLOOKUP(E3,[1]COA!$A$3:$B$337,2,FALSE))</f>
        <v>XXX</v>
      </c>
      <c r="E3" s="111" t="str">
        <f>G3&amp;"-"&amp;H3&amp;"-"&amp;I3</f>
        <v>0002-1009-0028</v>
      </c>
      <c r="F3" s="112">
        <v>201801</v>
      </c>
      <c r="G3" s="89" t="s">
        <v>522</v>
      </c>
      <c r="H3" s="89" t="s">
        <v>335</v>
      </c>
      <c r="I3" s="89" t="s">
        <v>413</v>
      </c>
      <c r="J3" s="112">
        <v>2</v>
      </c>
    </row>
    <row r="4" spans="1:10" x14ac:dyDescent="0.25">
      <c r="A4" s="48" t="s">
        <v>342</v>
      </c>
      <c r="C4" s="30" t="str">
        <f>VLOOKUP(D4,[1]ResCat!$A$2:$B$268,2,FALSE)</f>
        <v>AGDMHC</v>
      </c>
      <c r="D4" s="30" t="str">
        <f>IF(ISNA(VLOOKUP(E4,[1]COA!$A$3:$B$337,2,FALSE)),"XXX",VLOOKUP(E4,[1]COA!$A$3:$B$337,2,FALSE))</f>
        <v>D92</v>
      </c>
      <c r="E4" s="67" t="str">
        <f t="shared" ref="E4:E36" si="0">G4&amp;"-"&amp;H4&amp;"-"&amp;I4</f>
        <v>0002-1005-0005</v>
      </c>
      <c r="F4" s="112">
        <v>201801</v>
      </c>
      <c r="G4" s="89" t="s">
        <v>522</v>
      </c>
      <c r="H4" s="89" t="s">
        <v>385</v>
      </c>
      <c r="I4" s="89" t="s">
        <v>452</v>
      </c>
      <c r="J4" s="112">
        <v>3221</v>
      </c>
    </row>
    <row r="5" spans="1:10" x14ac:dyDescent="0.25">
      <c r="A5" s="48" t="s">
        <v>343</v>
      </c>
      <c r="C5" s="30" t="str">
        <f>VLOOKUP(D5,[1]ResCat!$A$2:$B$268,2,FALSE)</f>
        <v>PPOFEP</v>
      </c>
      <c r="D5" s="30" t="str">
        <f>IF(ISNA(VLOOKUP(E5,[1]COA!$A$3:$B$337,2,FALSE)),"XXX",VLOOKUP(E5,[1]COA!$A$3:$B$337,2,FALSE))</f>
        <v>F51</v>
      </c>
      <c r="E5" s="67" t="str">
        <f t="shared" si="0"/>
        <v>0029-1000-0012</v>
      </c>
      <c r="F5" s="112">
        <v>201801</v>
      </c>
      <c r="G5" s="89" t="s">
        <v>571</v>
      </c>
      <c r="H5" s="89" t="s">
        <v>329</v>
      </c>
      <c r="I5" s="89" t="s">
        <v>376</v>
      </c>
      <c r="J5" s="112">
        <v>428936</v>
      </c>
    </row>
    <row r="6" spans="1:10" x14ac:dyDescent="0.25">
      <c r="A6" s="48" t="s">
        <v>344</v>
      </c>
      <c r="C6" s="30" t="str">
        <f>VLOOKUP(D6,[1]ResCat!$A$2:$B$268,2,FALSE)</f>
        <v>AGDMHC</v>
      </c>
      <c r="D6" s="30" t="str">
        <f>IF(ISNA(VLOOKUP(E6,[1]COA!$A$3:$B$337,2,FALSE)),"XXX",VLOOKUP(E6,[1]COA!$A$3:$B$337,2,FALSE))</f>
        <v>D91</v>
      </c>
      <c r="E6" s="67" t="str">
        <f t="shared" si="0"/>
        <v>0001-1004-0003</v>
      </c>
      <c r="F6" s="112">
        <v>201801</v>
      </c>
      <c r="G6" s="89" t="s">
        <v>454</v>
      </c>
      <c r="H6" s="89" t="s">
        <v>382</v>
      </c>
      <c r="I6" s="89" t="s">
        <v>375</v>
      </c>
      <c r="J6" s="112">
        <v>1657</v>
      </c>
    </row>
    <row r="7" spans="1:10" x14ac:dyDescent="0.25">
      <c r="A7" s="50" t="s">
        <v>345</v>
      </c>
      <c r="C7" s="30" t="str">
        <f>VLOOKUP(D7,[1]ResCat!$A$2:$B$268,2,FALSE)</f>
        <v>AGDMHC</v>
      </c>
      <c r="D7" s="30" t="str">
        <f>IF(ISNA(VLOOKUP(E7,[1]COA!$A$3:$B$337,2,FALSE)),"XXX",VLOOKUP(E7,[1]COA!$A$3:$B$337,2,FALSE))</f>
        <v>D55</v>
      </c>
      <c r="E7" s="67" t="str">
        <f t="shared" si="0"/>
        <v>0002-1010-0028</v>
      </c>
      <c r="F7" s="112">
        <v>201801</v>
      </c>
      <c r="G7" s="89" t="s">
        <v>522</v>
      </c>
      <c r="H7" s="89" t="s">
        <v>389</v>
      </c>
      <c r="I7" s="89" t="s">
        <v>413</v>
      </c>
      <c r="J7" s="112">
        <v>114412</v>
      </c>
    </row>
    <row r="8" spans="1:10" x14ac:dyDescent="0.25">
      <c r="A8" s="50" t="s">
        <v>346</v>
      </c>
      <c r="C8" s="30" t="str">
        <f>VLOOKUP(D8,[1]ResCat!$A$2:$B$268,2,FALSE)</f>
        <v>AGDMHC</v>
      </c>
      <c r="D8" s="30" t="str">
        <f>IF(ISNA(VLOOKUP(E8,[1]COA!$A$3:$B$337,2,FALSE)),"XXX",VLOOKUP(E8,[1]COA!$A$3:$B$337,2,FALSE))</f>
        <v>D81</v>
      </c>
      <c r="E8" s="67" t="str">
        <f t="shared" si="0"/>
        <v>0001-1010-0003</v>
      </c>
      <c r="F8" s="112">
        <v>201801</v>
      </c>
      <c r="G8" s="89" t="s">
        <v>454</v>
      </c>
      <c r="H8" s="89" t="s">
        <v>389</v>
      </c>
      <c r="I8" s="89" t="s">
        <v>375</v>
      </c>
      <c r="J8" s="112">
        <v>21150</v>
      </c>
    </row>
    <row r="9" spans="1:10" x14ac:dyDescent="0.25">
      <c r="A9" s="50" t="s">
        <v>927</v>
      </c>
      <c r="C9" s="30" t="str">
        <f>VLOOKUP(D9,[1]ResCat!$A$2:$B$268,2,FALSE)</f>
        <v>AGDMHC</v>
      </c>
      <c r="D9" s="30" t="str">
        <f>IF(ISNA(VLOOKUP(E9,[1]COA!$A$3:$B$337,2,FALSE)),"XXX",VLOOKUP(E9,[1]COA!$A$3:$B$337,2,FALSE))</f>
        <v>D82</v>
      </c>
      <c r="E9" s="67" t="str">
        <f t="shared" si="0"/>
        <v>0002-1010-0005</v>
      </c>
      <c r="F9" s="112">
        <v>201801</v>
      </c>
      <c r="G9" s="89" t="s">
        <v>522</v>
      </c>
      <c r="H9" s="89" t="s">
        <v>389</v>
      </c>
      <c r="I9" s="89" t="s">
        <v>452</v>
      </c>
      <c r="J9" s="112">
        <v>83253</v>
      </c>
    </row>
    <row r="10" spans="1:10" x14ac:dyDescent="0.25">
      <c r="A10" s="50" t="s">
        <v>347</v>
      </c>
      <c r="C10" s="30" t="str">
        <f>VLOOKUP(D10,[1]ResCat!$A$2:$B$268,2,FALSE)</f>
        <v>AGDMHC</v>
      </c>
      <c r="D10" s="30" t="str">
        <f>IF(ISNA(VLOOKUP(E10,[1]COA!$A$3:$B$337,2,FALSE)),"XXX",VLOOKUP(E10,[1]COA!$A$3:$B$337,2,FALSE))</f>
        <v>D71</v>
      </c>
      <c r="E10" s="67" t="str">
        <f t="shared" si="0"/>
        <v>0001-1012-0003</v>
      </c>
      <c r="F10" s="112">
        <v>201801</v>
      </c>
      <c r="G10" s="89" t="s">
        <v>454</v>
      </c>
      <c r="H10" s="89" t="s">
        <v>392</v>
      </c>
      <c r="I10" s="89" t="s">
        <v>375</v>
      </c>
      <c r="J10" s="112">
        <v>706</v>
      </c>
    </row>
    <row r="11" spans="1:10" x14ac:dyDescent="0.25">
      <c r="A11" s="50" t="s">
        <v>362</v>
      </c>
      <c r="C11" s="30" t="str">
        <f>VLOOKUP(D11,[1]ResCat!$A$2:$B$268,2,FALSE)</f>
        <v>XXX</v>
      </c>
      <c r="D11" s="30" t="str">
        <f>IF(ISNA(VLOOKUP(E11,[1]COA!$A$3:$B$337,2,FALSE)),"XXX",VLOOKUP(E11,[1]COA!$A$3:$B$337,2,FALSE))</f>
        <v>XXX</v>
      </c>
      <c r="E11" s="67" t="str">
        <f t="shared" si="0"/>
        <v>0002-1000-0004</v>
      </c>
      <c r="F11" s="112">
        <v>201801</v>
      </c>
      <c r="G11" s="89" t="s">
        <v>522</v>
      </c>
      <c r="H11" s="89" t="s">
        <v>329</v>
      </c>
      <c r="I11" s="89" t="s">
        <v>528</v>
      </c>
      <c r="J11" s="112">
        <v>500</v>
      </c>
    </row>
    <row r="12" spans="1:10" x14ac:dyDescent="0.25">
      <c r="A12" s="113" t="s">
        <v>928</v>
      </c>
      <c r="C12" s="30" t="str">
        <f>VLOOKUP(D12,[1]ResCat!$A$2:$B$268,2,FALSE)</f>
        <v>XXX</v>
      </c>
      <c r="D12" s="30" t="str">
        <f>IF(ISNA(VLOOKUP(E12,[1]COA!$A$3:$B$337,2,FALSE)),"XXX",VLOOKUP(E12,[1]COA!$A$3:$B$337,2,FALSE))</f>
        <v>D95</v>
      </c>
      <c r="E12" s="67" t="str">
        <f t="shared" si="0"/>
        <v>0014-1004-0042</v>
      </c>
      <c r="F12" s="112">
        <v>201801</v>
      </c>
      <c r="G12" s="89" t="s">
        <v>460</v>
      </c>
      <c r="H12" s="89" t="s">
        <v>382</v>
      </c>
      <c r="I12" s="89" t="s">
        <v>578</v>
      </c>
      <c r="J12" s="112">
        <v>1067</v>
      </c>
    </row>
    <row r="13" spans="1:10" x14ac:dyDescent="0.25">
      <c r="A13" s="113" t="s">
        <v>929</v>
      </c>
      <c r="C13" s="30" t="str">
        <f>VLOOKUP(D13,[1]ResCat!$A$2:$B$268,2,FALSE)</f>
        <v>XXX</v>
      </c>
      <c r="D13" s="30" t="str">
        <f>IF(ISNA(VLOOKUP(E13,[1]COA!$A$3:$B$337,2,FALSE)),"XXX",VLOOKUP(E13,[1]COA!$A$3:$B$337,2,FALSE))</f>
        <v>XXX</v>
      </c>
      <c r="E13" s="67" t="str">
        <f t="shared" si="0"/>
        <v>0002-1006-0028</v>
      </c>
      <c r="F13" s="112">
        <v>201801</v>
      </c>
      <c r="G13" s="89" t="s">
        <v>522</v>
      </c>
      <c r="H13" s="89" t="s">
        <v>386</v>
      </c>
      <c r="I13" s="89" t="s">
        <v>413</v>
      </c>
      <c r="J13" s="112">
        <v>165</v>
      </c>
    </row>
    <row r="14" spans="1:10" x14ac:dyDescent="0.25">
      <c r="A14" s="113" t="s">
        <v>930</v>
      </c>
      <c r="C14" s="30" t="str">
        <f>VLOOKUP(D14,[1]ResCat!$A$2:$B$268,2,FALSE)</f>
        <v>AGDMHC</v>
      </c>
      <c r="D14" s="30" t="str">
        <f>IF(ISNA(VLOOKUP(E14,[1]COA!$A$3:$B$337,2,FALSE)),"XXX",VLOOKUP(E14,[1]COA!$A$3:$B$337,2,FALSE))</f>
        <v>D85</v>
      </c>
      <c r="E14" s="67" t="str">
        <f t="shared" si="0"/>
        <v>0001-1009-0003</v>
      </c>
      <c r="F14" s="112">
        <v>201801</v>
      </c>
      <c r="G14" s="89" t="s">
        <v>454</v>
      </c>
      <c r="H14" s="89" t="s">
        <v>335</v>
      </c>
      <c r="I14" s="89" t="s">
        <v>375</v>
      </c>
      <c r="J14" s="112">
        <v>11815</v>
      </c>
    </row>
    <row r="15" spans="1:10" x14ac:dyDescent="0.25">
      <c r="A15" s="113" t="s">
        <v>931</v>
      </c>
      <c r="C15" s="30" t="str">
        <f>VLOOKUP(D15,[1]ResCat!$A$2:$B$268,2,FALSE)</f>
        <v>AGDMHC</v>
      </c>
      <c r="D15" s="30" t="str">
        <f>IF(ISNA(VLOOKUP(E15,[1]COA!$A$3:$B$337,2,FALSE)),"XXX",VLOOKUP(E15,[1]COA!$A$3:$B$337,2,FALSE))</f>
        <v>D92</v>
      </c>
      <c r="E15" s="67" t="str">
        <f t="shared" si="0"/>
        <v>0002-1004-0005</v>
      </c>
      <c r="F15" s="112">
        <v>201801</v>
      </c>
      <c r="G15" s="89" t="s">
        <v>522</v>
      </c>
      <c r="H15" s="89" t="s">
        <v>382</v>
      </c>
      <c r="I15" s="89" t="s">
        <v>452</v>
      </c>
      <c r="J15" s="112">
        <v>5462</v>
      </c>
    </row>
    <row r="16" spans="1:10" x14ac:dyDescent="0.25">
      <c r="A16" s="113" t="s">
        <v>932</v>
      </c>
      <c r="C16" s="30" t="str">
        <f>VLOOKUP(D16,[1]ResCat!$A$2:$B$268,2,FALSE)</f>
        <v>XXX</v>
      </c>
      <c r="D16" s="30" t="str">
        <f>IF(ISNA(VLOOKUP(E16,[1]COA!$A$3:$B$337,2,FALSE)),"XXX",VLOOKUP(E16,[1]COA!$A$3:$B$337,2,FALSE))</f>
        <v>C63</v>
      </c>
      <c r="E16" s="67" t="str">
        <f t="shared" si="0"/>
        <v>0006-1001-0004</v>
      </c>
      <c r="F16" s="112">
        <v>201801</v>
      </c>
      <c r="G16" s="89" t="s">
        <v>491</v>
      </c>
      <c r="H16" s="89" t="s">
        <v>338</v>
      </c>
      <c r="I16" s="89" t="s">
        <v>528</v>
      </c>
      <c r="J16" s="112">
        <v>18135</v>
      </c>
    </row>
    <row r="17" spans="1:10" x14ac:dyDescent="0.25">
      <c r="A17" s="113" t="s">
        <v>933</v>
      </c>
      <c r="C17" s="30" t="str">
        <f>VLOOKUP(D17,[1]ResCat!$A$2:$B$268,2,FALSE)</f>
        <v>AGDMHC</v>
      </c>
      <c r="D17" s="30" t="str">
        <f>IF(ISNA(VLOOKUP(E17,[1]COA!$A$3:$B$337,2,FALSE)),"XXX",VLOOKUP(E17,[1]COA!$A$3:$B$337,2,FALSE))</f>
        <v>D72</v>
      </c>
      <c r="E17" s="67" t="str">
        <f t="shared" si="0"/>
        <v>0002-1012-0005</v>
      </c>
      <c r="F17" s="112">
        <v>201801</v>
      </c>
      <c r="G17" s="89" t="s">
        <v>522</v>
      </c>
      <c r="H17" s="89" t="s">
        <v>392</v>
      </c>
      <c r="I17" s="89" t="s">
        <v>452</v>
      </c>
      <c r="J17" s="112">
        <v>820</v>
      </c>
    </row>
    <row r="18" spans="1:10" x14ac:dyDescent="0.25">
      <c r="A18" s="113" t="s">
        <v>934</v>
      </c>
      <c r="C18" s="30" t="str">
        <f>VLOOKUP(D18,[1]ResCat!$A$2:$B$268,2,FALSE)</f>
        <v>XXX</v>
      </c>
      <c r="D18" s="30" t="str">
        <f>IF(ISNA(VLOOKUP(E18,[1]COA!$A$3:$B$337,2,FALSE)),"XXX",VLOOKUP(E18,[1]COA!$A$3:$B$337,2,FALSE))</f>
        <v>XXX</v>
      </c>
      <c r="E18" s="67" t="str">
        <f t="shared" si="0"/>
        <v>0002-1004-0028</v>
      </c>
      <c r="F18" s="112">
        <v>201801</v>
      </c>
      <c r="G18" s="89" t="s">
        <v>522</v>
      </c>
      <c r="H18" s="89" t="s">
        <v>382</v>
      </c>
      <c r="I18" s="89" t="s">
        <v>413</v>
      </c>
      <c r="J18" s="112">
        <v>39</v>
      </c>
    </row>
    <row r="19" spans="1:10" x14ac:dyDescent="0.25">
      <c r="A19" s="113" t="s">
        <v>935</v>
      </c>
      <c r="C19" s="30" t="str">
        <f>VLOOKUP(D19,[1]ResCat!$A$2:$B$268,2,FALSE)</f>
        <v>AGDMHC</v>
      </c>
      <c r="D19" s="30" t="str">
        <f>IF(ISNA(VLOOKUP(E19,[1]COA!$A$3:$B$337,2,FALSE)),"XXX",VLOOKUP(E19,[1]COA!$A$3:$B$337,2,FALSE))</f>
        <v>D91</v>
      </c>
      <c r="E19" s="67" t="str">
        <f t="shared" si="0"/>
        <v>0001-1006-0003</v>
      </c>
      <c r="F19" s="112">
        <v>201801</v>
      </c>
      <c r="G19" s="89" t="s">
        <v>454</v>
      </c>
      <c r="H19" s="89" t="s">
        <v>386</v>
      </c>
      <c r="I19" s="89" t="s">
        <v>375</v>
      </c>
      <c r="J19" s="112">
        <v>4444</v>
      </c>
    </row>
    <row r="20" spans="1:10" x14ac:dyDescent="0.25">
      <c r="A20" s="113" t="s">
        <v>936</v>
      </c>
      <c r="C20" s="30" t="str">
        <f>VLOOKUP(D20,[1]ResCat!$A$2:$B$268,2,FALSE)</f>
        <v>AGDMHC</v>
      </c>
      <c r="D20" s="30" t="str">
        <f>IF(ISNA(VLOOKUP(E20,[1]COA!$A$3:$B$337,2,FALSE)),"XXX",VLOOKUP(E20,[1]COA!$A$3:$B$337,2,FALSE))</f>
        <v>D96</v>
      </c>
      <c r="E20" s="67" t="str">
        <f t="shared" si="0"/>
        <v>0001-1001-0003</v>
      </c>
      <c r="F20" s="112">
        <v>201801</v>
      </c>
      <c r="G20" s="89" t="s">
        <v>454</v>
      </c>
      <c r="H20" s="89" t="s">
        <v>338</v>
      </c>
      <c r="I20" s="89" t="s">
        <v>375</v>
      </c>
      <c r="J20" s="112">
        <v>27204</v>
      </c>
    </row>
    <row r="21" spans="1:10" x14ac:dyDescent="0.25">
      <c r="A21" s="113" t="s">
        <v>937</v>
      </c>
      <c r="C21" s="30" t="str">
        <f>VLOOKUP(D21,[1]ResCat!$A$2:$B$268,2,FALSE)</f>
        <v>AGDMHC</v>
      </c>
      <c r="D21" s="30" t="str">
        <f>IF(ISNA(VLOOKUP(E21,[1]COA!$A$3:$B$337,2,FALSE)),"XXX",VLOOKUP(E21,[1]COA!$A$3:$B$337,2,FALSE))</f>
        <v>D91</v>
      </c>
      <c r="E21" s="67" t="str">
        <f t="shared" si="0"/>
        <v>0001-1000-0003</v>
      </c>
      <c r="F21" s="112">
        <v>201801</v>
      </c>
      <c r="G21" s="89" t="s">
        <v>454</v>
      </c>
      <c r="H21" s="89" t="s">
        <v>329</v>
      </c>
      <c r="I21" s="89" t="s">
        <v>375</v>
      </c>
      <c r="J21" s="112">
        <v>821</v>
      </c>
    </row>
    <row r="22" spans="1:10" x14ac:dyDescent="0.25">
      <c r="A22" s="113" t="s">
        <v>938</v>
      </c>
      <c r="C22" s="30" t="str">
        <f>VLOOKUP(D22,[1]ResCat!$A$2:$B$268,2,FALSE)</f>
        <v>XXX</v>
      </c>
      <c r="D22" s="30" t="str">
        <f>IF(ISNA(VLOOKUP(E22,[1]COA!$A$3:$B$337,2,FALSE)),"XXX",VLOOKUP(E22,[1]COA!$A$3:$B$337,2,FALSE))</f>
        <v>C63</v>
      </c>
      <c r="E22" s="67" t="str">
        <f t="shared" si="0"/>
        <v>0006-1009-0004</v>
      </c>
      <c r="F22" s="112">
        <v>201801</v>
      </c>
      <c r="G22" s="89" t="s">
        <v>491</v>
      </c>
      <c r="H22" s="89" t="s">
        <v>335</v>
      </c>
      <c r="I22" s="89" t="s">
        <v>528</v>
      </c>
      <c r="J22" s="112">
        <v>7059</v>
      </c>
    </row>
    <row r="23" spans="1:10" x14ac:dyDescent="0.25">
      <c r="A23" s="113" t="s">
        <v>939</v>
      </c>
      <c r="C23" s="30" t="str">
        <f>VLOOKUP(D23,[1]ResCat!$A$2:$B$268,2,FALSE)</f>
        <v>AGDMHC</v>
      </c>
      <c r="D23" s="30" t="str">
        <f>IF(ISNA(VLOOKUP(E23,[1]COA!$A$3:$B$337,2,FALSE)),"XXX",VLOOKUP(E23,[1]COA!$A$3:$B$337,2,FALSE))</f>
        <v>D72</v>
      </c>
      <c r="E23" s="67" t="str">
        <f t="shared" si="0"/>
        <v>0002-1003-0005</v>
      </c>
      <c r="F23" s="112">
        <v>201801</v>
      </c>
      <c r="G23" s="89" t="s">
        <v>522</v>
      </c>
      <c r="H23" s="89" t="s">
        <v>381</v>
      </c>
      <c r="I23" s="89" t="s">
        <v>452</v>
      </c>
      <c r="J23" s="112">
        <v>359</v>
      </c>
    </row>
    <row r="24" spans="1:10" x14ac:dyDescent="0.25">
      <c r="A24" s="113" t="s">
        <v>940</v>
      </c>
      <c r="C24" s="30" t="str">
        <f>VLOOKUP(D24,[1]ResCat!$A$2:$B$268,2,FALSE)</f>
        <v>AGDMHC</v>
      </c>
      <c r="D24" s="30" t="str">
        <f>IF(ISNA(VLOOKUP(E24,[1]COA!$A$3:$B$337,2,FALSE)),"XXX",VLOOKUP(E24,[1]COA!$A$3:$B$337,2,FALSE))</f>
        <v>D92</v>
      </c>
      <c r="E24" s="67" t="str">
        <f t="shared" si="0"/>
        <v>0002-1006-0005</v>
      </c>
      <c r="F24" s="112">
        <v>201801</v>
      </c>
      <c r="G24" s="89" t="s">
        <v>522</v>
      </c>
      <c r="H24" s="89" t="s">
        <v>386</v>
      </c>
      <c r="I24" s="89" t="s">
        <v>452</v>
      </c>
      <c r="J24" s="112">
        <v>6701</v>
      </c>
    </row>
    <row r="25" spans="1:10" x14ac:dyDescent="0.25">
      <c r="A25" s="113" t="s">
        <v>941</v>
      </c>
      <c r="C25" s="30" t="str">
        <f>VLOOKUP(D25,[1]ResCat!$A$2:$B$268,2,FALSE)</f>
        <v>AGDMHC</v>
      </c>
      <c r="D25" s="30" t="str">
        <f>IF(ISNA(VLOOKUP(E25,[1]COA!$A$3:$B$337,2,FALSE)),"XXX",VLOOKUP(E25,[1]COA!$A$3:$B$337,2,FALSE))</f>
        <v>D91</v>
      </c>
      <c r="E25" s="67" t="str">
        <f t="shared" si="0"/>
        <v>0001-1005-0003</v>
      </c>
      <c r="F25" s="112">
        <v>201801</v>
      </c>
      <c r="G25" s="89" t="s">
        <v>454</v>
      </c>
      <c r="H25" s="89" t="s">
        <v>385</v>
      </c>
      <c r="I25" s="89" t="s">
        <v>375</v>
      </c>
      <c r="J25" s="112">
        <v>1178</v>
      </c>
    </row>
    <row r="26" spans="1:10" x14ac:dyDescent="0.25">
      <c r="A26" s="114" t="s">
        <v>950</v>
      </c>
      <c r="C26" s="30" t="str">
        <f>VLOOKUP(D26,[1]ResCat!$A$2:$B$268,2,FALSE)</f>
        <v>XXX</v>
      </c>
      <c r="D26" s="30" t="str">
        <f>IF(ISNA(VLOOKUP(E26,[1]COA!$A$3:$B$337,2,FALSE)),"XXX",VLOOKUP(E26,[1]COA!$A$3:$B$337,2,FALSE))</f>
        <v>XXX</v>
      </c>
      <c r="E26" s="67" t="str">
        <f t="shared" si="0"/>
        <v>0002-1009-0005</v>
      </c>
      <c r="F26" s="112">
        <v>201801</v>
      </c>
      <c r="G26" s="89" t="s">
        <v>522</v>
      </c>
      <c r="H26" s="89" t="s">
        <v>335</v>
      </c>
      <c r="I26" s="89" t="s">
        <v>452</v>
      </c>
      <c r="J26" s="112">
        <v>2038</v>
      </c>
    </row>
    <row r="27" spans="1:10" x14ac:dyDescent="0.25">
      <c r="A27" s="114" t="s">
        <v>942</v>
      </c>
      <c r="C27" s="30" t="str">
        <f>VLOOKUP(D27,[1]ResCat!$A$2:$B$268,2,FALSE)</f>
        <v>XXX</v>
      </c>
      <c r="D27" s="30" t="str">
        <f>IF(ISNA(VLOOKUP(E27,[1]COA!$A$3:$B$337,2,FALSE)),"XXX",VLOOKUP(E27,[1]COA!$A$3:$B$337,2,FALSE))</f>
        <v>D75</v>
      </c>
      <c r="E27" s="67" t="str">
        <f t="shared" si="0"/>
        <v>0014-1003-0042</v>
      </c>
      <c r="F27" s="112">
        <v>201801</v>
      </c>
      <c r="G27" s="89" t="s">
        <v>460</v>
      </c>
      <c r="H27" s="89" t="s">
        <v>381</v>
      </c>
      <c r="I27" s="89" t="s">
        <v>578</v>
      </c>
      <c r="J27" s="112">
        <v>5304</v>
      </c>
    </row>
    <row r="28" spans="1:10" x14ac:dyDescent="0.25">
      <c r="A28" s="113" t="s">
        <v>943</v>
      </c>
      <c r="C28" s="30" t="str">
        <f>VLOOKUP(D28,[1]ResCat!$A$2:$B$268,2,FALSE)</f>
        <v>XXX</v>
      </c>
      <c r="D28" s="30" t="str">
        <f>IF(ISNA(VLOOKUP(E28,[1]COA!$A$3:$B$337,2,FALSE)),"XXX",VLOOKUP(E28,[1]COA!$A$3:$B$337,2,FALSE))</f>
        <v>D95</v>
      </c>
      <c r="E28" s="67" t="str">
        <f t="shared" si="0"/>
        <v>0014-1005-0042</v>
      </c>
      <c r="F28" s="112">
        <v>201801</v>
      </c>
      <c r="G28" s="89" t="s">
        <v>460</v>
      </c>
      <c r="H28" s="89" t="s">
        <v>385</v>
      </c>
      <c r="I28" s="89" t="s">
        <v>578</v>
      </c>
      <c r="J28" s="112">
        <v>3005</v>
      </c>
    </row>
    <row r="29" spans="1:10" x14ac:dyDescent="0.25">
      <c r="A29" s="113" t="s">
        <v>944</v>
      </c>
      <c r="C29" s="30" t="str">
        <f>VLOOKUP(D29,[1]ResCat!$A$2:$B$268,2,FALSE)</f>
        <v>AGDMHC</v>
      </c>
      <c r="D29" s="30" t="str">
        <f>IF(ISNA(VLOOKUP(E29,[1]COA!$A$3:$B$337,2,FALSE)),"XXX",VLOOKUP(E29,[1]COA!$A$3:$B$337,2,FALSE))</f>
        <v>D99</v>
      </c>
      <c r="E29" s="67" t="str">
        <f t="shared" si="0"/>
        <v>0002-1009-0009</v>
      </c>
      <c r="F29" s="112">
        <v>201801</v>
      </c>
      <c r="G29" s="89" t="s">
        <v>522</v>
      </c>
      <c r="H29" s="89" t="s">
        <v>335</v>
      </c>
      <c r="I29" s="89" t="s">
        <v>458</v>
      </c>
      <c r="J29" s="112">
        <v>7136</v>
      </c>
    </row>
    <row r="30" spans="1:10" x14ac:dyDescent="0.25">
      <c r="A30" s="113" t="s">
        <v>945</v>
      </c>
      <c r="C30" s="30" t="str">
        <f>VLOOKUP(D30,[1]ResCat!$A$2:$B$268,2,FALSE)</f>
        <v>AGDMHC</v>
      </c>
      <c r="D30" s="30" t="str">
        <f>IF(ISNA(VLOOKUP(E30,[1]COA!$A$3:$B$337,2,FALSE)),"XXX",VLOOKUP(E30,[1]COA!$A$3:$B$337,2,FALSE))</f>
        <v>D51</v>
      </c>
      <c r="E30" s="67" t="str">
        <f t="shared" si="0"/>
        <v>0002-1001-0028</v>
      </c>
      <c r="F30" s="112">
        <v>201801</v>
      </c>
      <c r="G30" s="89" t="s">
        <v>522</v>
      </c>
      <c r="H30" s="89" t="s">
        <v>338</v>
      </c>
      <c r="I30" s="89" t="s">
        <v>413</v>
      </c>
      <c r="J30" s="112">
        <v>122876</v>
      </c>
    </row>
    <row r="31" spans="1:10" x14ac:dyDescent="0.25">
      <c r="A31" s="113" t="s">
        <v>930</v>
      </c>
      <c r="C31" s="30" t="str">
        <f>VLOOKUP(D31,[1]ResCat!$A$2:$B$268,2,FALSE)</f>
        <v>AGDMHC</v>
      </c>
      <c r="D31" s="30" t="str">
        <f>IF(ISNA(VLOOKUP(E31,[1]COA!$A$3:$B$337,2,FALSE)),"XXX",VLOOKUP(E31,[1]COA!$A$3:$B$337,2,FALSE))</f>
        <v>D97</v>
      </c>
      <c r="E31" s="67" t="str">
        <f t="shared" si="0"/>
        <v>0002-1001-0005</v>
      </c>
      <c r="F31" s="112">
        <v>201801</v>
      </c>
      <c r="G31" s="89" t="s">
        <v>522</v>
      </c>
      <c r="H31" s="89" t="s">
        <v>338</v>
      </c>
      <c r="I31" s="89" t="s">
        <v>452</v>
      </c>
      <c r="J31" s="112">
        <v>63109</v>
      </c>
    </row>
    <row r="32" spans="1:10" x14ac:dyDescent="0.25">
      <c r="A32" s="113" t="s">
        <v>931</v>
      </c>
      <c r="C32" s="30" t="str">
        <f>VLOOKUP(D32,[1]ResCat!$A$2:$B$268,2,FALSE)</f>
        <v>PPOFEP</v>
      </c>
      <c r="D32" s="30" t="str">
        <f>IF(ISNA(VLOOKUP(E32,[1]COA!$A$3:$B$337,2,FALSE)),"XXX",VLOOKUP(E32,[1]COA!$A$3:$B$337,2,FALSE))</f>
        <v>F51</v>
      </c>
      <c r="E32" s="67" t="str">
        <f t="shared" si="0"/>
        <v>0021-1000-0036</v>
      </c>
      <c r="F32" s="112">
        <v>201801</v>
      </c>
      <c r="G32" s="89" t="s">
        <v>377</v>
      </c>
      <c r="H32" s="89" t="s">
        <v>329</v>
      </c>
      <c r="I32" s="89" t="s">
        <v>408</v>
      </c>
      <c r="J32" s="112">
        <v>405696</v>
      </c>
    </row>
    <row r="33" spans="1:10" x14ac:dyDescent="0.25">
      <c r="A33" s="113" t="s">
        <v>932</v>
      </c>
      <c r="C33" s="30" t="str">
        <f>VLOOKUP(D33,[1]ResCat!$A$2:$B$268,2,FALSE)</f>
        <v>XXX</v>
      </c>
      <c r="D33" s="30" t="str">
        <f>IF(ISNA(VLOOKUP(E33,[1]COA!$A$3:$B$337,2,FALSE)),"XXX",VLOOKUP(E33,[1]COA!$A$3:$B$337,2,FALSE))</f>
        <v>D75</v>
      </c>
      <c r="E33" s="67" t="str">
        <f t="shared" si="0"/>
        <v>0014-1013-0042</v>
      </c>
      <c r="F33" s="112">
        <v>201801</v>
      </c>
      <c r="G33" s="89" t="s">
        <v>460</v>
      </c>
      <c r="H33" s="89" t="s">
        <v>393</v>
      </c>
      <c r="I33" s="89" t="s">
        <v>578</v>
      </c>
      <c r="J33" s="112">
        <v>4470</v>
      </c>
    </row>
    <row r="34" spans="1:10" x14ac:dyDescent="0.25">
      <c r="A34" s="113" t="s">
        <v>946</v>
      </c>
      <c r="C34" s="30" t="str">
        <f>VLOOKUP(D34,[1]ResCat!$A$2:$B$268,2,FALSE)</f>
        <v>AGDMHC</v>
      </c>
      <c r="D34" s="30" t="str">
        <f>IF(ISNA(VLOOKUP(E34,[1]COA!$A$3:$B$337,2,FALSE)),"XXX",VLOOKUP(E34,[1]COA!$A$3:$B$337,2,FALSE))</f>
        <v>D93</v>
      </c>
      <c r="E34" s="67" t="str">
        <f t="shared" si="0"/>
        <v>0001-1014-0003</v>
      </c>
      <c r="F34" s="112">
        <v>201801</v>
      </c>
      <c r="G34" s="89" t="s">
        <v>454</v>
      </c>
      <c r="H34" s="89" t="s">
        <v>401</v>
      </c>
      <c r="I34" s="89" t="s">
        <v>375</v>
      </c>
      <c r="J34" s="112">
        <v>2969</v>
      </c>
    </row>
    <row r="35" spans="1:10" x14ac:dyDescent="0.25">
      <c r="A35" s="113" t="s">
        <v>947</v>
      </c>
      <c r="C35" s="30" t="str">
        <f>VLOOKUP(D35,[1]ResCat!$A$2:$B$268,2,FALSE)</f>
        <v>AGDMHC</v>
      </c>
      <c r="D35" s="30" t="str">
        <f>IF(ISNA(VLOOKUP(E35,[1]COA!$A$3:$B$337,2,FALSE)),"XXX",VLOOKUP(E35,[1]COA!$A$3:$B$337,2,FALSE))</f>
        <v>D11</v>
      </c>
      <c r="E35" s="67" t="str">
        <f t="shared" si="0"/>
        <v>0001-1001-0026</v>
      </c>
      <c r="F35" s="112">
        <v>201801</v>
      </c>
      <c r="G35" s="89" t="s">
        <v>454</v>
      </c>
      <c r="H35" s="89" t="s">
        <v>338</v>
      </c>
      <c r="I35" s="89" t="s">
        <v>411</v>
      </c>
      <c r="J35" s="112">
        <v>12</v>
      </c>
    </row>
    <row r="36" spans="1:10" x14ac:dyDescent="0.25">
      <c r="A36" s="50" t="s">
        <v>356</v>
      </c>
      <c r="C36" s="30" t="str">
        <f>VLOOKUP(D36,[1]ResCat!$A$2:$B$268,2,FALSE)</f>
        <v>XXX</v>
      </c>
      <c r="D36" s="30" t="str">
        <f>IF(ISNA(VLOOKUP(E36,[1]COA!$A$3:$B$337,2,FALSE)),"XXX",VLOOKUP(E36,[1]COA!$A$3:$B$337,2,FALSE))</f>
        <v>XXX</v>
      </c>
      <c r="E36" s="67" t="str">
        <f t="shared" si="0"/>
        <v>0002-1005-0028</v>
      </c>
      <c r="F36" s="112">
        <v>201801</v>
      </c>
      <c r="G36" s="89" t="s">
        <v>522</v>
      </c>
      <c r="H36" s="89" t="s">
        <v>385</v>
      </c>
      <c r="I36" s="89" t="s">
        <v>413</v>
      </c>
      <c r="J36" s="112">
        <v>11</v>
      </c>
    </row>
    <row r="37" spans="1:10" x14ac:dyDescent="0.25">
      <c r="A37" s="50" t="s">
        <v>6</v>
      </c>
      <c r="C37" s="30" t="str">
        <f>VLOOKUP(D37,[1]ResCat!$A$2:$B$268,2,FALSE)</f>
        <v>AGDMHC</v>
      </c>
      <c r="D37" s="30" t="str">
        <f>IF(ISNA(VLOOKUP(E37,[1]COA!$A$3:$B$337,2,FALSE)),"XXX",VLOOKUP(E37,[1]COA!$A$3:$B$337,2,FALSE))</f>
        <v>D76</v>
      </c>
      <c r="E37" s="67" t="str">
        <f t="shared" ref="E37:E39" si="1">G37&amp;"-"&amp;H37&amp;"-"&amp;I37</f>
        <v>0002-1014-0042</v>
      </c>
      <c r="F37" s="112">
        <v>201801</v>
      </c>
      <c r="G37" s="89" t="s">
        <v>522</v>
      </c>
      <c r="H37" s="89" t="s">
        <v>401</v>
      </c>
      <c r="I37" s="89" t="s">
        <v>578</v>
      </c>
      <c r="J37" s="112">
        <v>9784</v>
      </c>
    </row>
    <row r="38" spans="1:10" x14ac:dyDescent="0.25">
      <c r="A38" s="50" t="s">
        <v>357</v>
      </c>
      <c r="C38" s="30" t="str">
        <f>VLOOKUP(D38,[1]ResCat!$A$2:$B$268,2,FALSE)</f>
        <v>XXX</v>
      </c>
      <c r="D38" s="30" t="str">
        <f>IF(ISNA(VLOOKUP(E38,[1]COA!$A$3:$B$337,2,FALSE)),"XXX",VLOOKUP(E38,[1]COA!$A$3:$B$337,2,FALSE))</f>
        <v>C65</v>
      </c>
      <c r="E38" s="67" t="str">
        <f t="shared" si="1"/>
        <v>0006-1010-0005</v>
      </c>
      <c r="F38" s="112">
        <v>201801</v>
      </c>
      <c r="G38" s="89" t="s">
        <v>491</v>
      </c>
      <c r="H38" s="89" t="s">
        <v>389</v>
      </c>
      <c r="I38" s="89" t="s">
        <v>452</v>
      </c>
      <c r="J38" s="112">
        <v>3799</v>
      </c>
    </row>
    <row r="39" spans="1:10" x14ac:dyDescent="0.25">
      <c r="A39" s="52" t="s">
        <v>7</v>
      </c>
      <c r="C39" s="30" t="str">
        <f>VLOOKUP(D39,[1]ResCat!$A$2:$B$268,2,FALSE)</f>
        <v>AGDMHC</v>
      </c>
      <c r="D39" s="30" t="str">
        <f>IF(ISNA(VLOOKUP(E39,[1]COA!$A$3:$B$337,2,FALSE)),"XXX",VLOOKUP(E39,[1]COA!$A$3:$B$337,2,FALSE))</f>
        <v>D71</v>
      </c>
      <c r="E39" s="67" t="str">
        <f t="shared" si="1"/>
        <v>0001-1003-0003</v>
      </c>
      <c r="F39" s="112">
        <v>201801</v>
      </c>
      <c r="G39" s="89" t="s">
        <v>454</v>
      </c>
      <c r="H39" s="89" t="s">
        <v>381</v>
      </c>
      <c r="I39" s="89" t="s">
        <v>375</v>
      </c>
      <c r="J39" s="112">
        <v>1565</v>
      </c>
    </row>
    <row r="40" spans="1:10" x14ac:dyDescent="0.25">
      <c r="C40" s="30"/>
      <c r="D40" s="30"/>
      <c r="E40" s="67"/>
      <c r="F40" s="112"/>
      <c r="G40" s="89"/>
      <c r="H40" s="89"/>
      <c r="I40" s="89"/>
      <c r="J40" s="112"/>
    </row>
    <row r="41" spans="1:10" x14ac:dyDescent="0.25">
      <c r="C41" s="30"/>
      <c r="D41" s="30"/>
      <c r="E41" s="67"/>
      <c r="F41" s="112"/>
      <c r="G41" s="89"/>
      <c r="H41" s="89"/>
      <c r="I41" s="89"/>
      <c r="J41" s="112"/>
    </row>
    <row r="42" spans="1:10" x14ac:dyDescent="0.25">
      <c r="C42" s="30"/>
      <c r="D42" s="30"/>
      <c r="E42" s="67"/>
      <c r="F42" s="112"/>
      <c r="G42" s="89"/>
      <c r="H42" s="89"/>
      <c r="I42" s="89"/>
      <c r="J42" s="112"/>
    </row>
    <row r="43" spans="1:10" x14ac:dyDescent="0.25">
      <c r="C43" s="30"/>
      <c r="D43" s="30"/>
      <c r="E43" s="67"/>
      <c r="F43" s="112"/>
      <c r="G43" s="89"/>
      <c r="H43" s="89"/>
      <c r="I43" s="89"/>
      <c r="J43" s="112"/>
    </row>
    <row r="44" spans="1:10" x14ac:dyDescent="0.25">
      <c r="C44" s="30"/>
      <c r="D44" s="30"/>
      <c r="E44" s="67"/>
      <c r="F44" s="112"/>
      <c r="G44" s="89"/>
      <c r="H44" s="89"/>
      <c r="I44" s="89"/>
      <c r="J44" s="112"/>
    </row>
    <row r="45" spans="1:10" x14ac:dyDescent="0.25">
      <c r="C45" s="30"/>
      <c r="D45" s="30"/>
      <c r="E45" s="67"/>
      <c r="F45" s="112"/>
      <c r="G45" s="89"/>
      <c r="H45" s="89"/>
      <c r="I45" s="89"/>
      <c r="J45" s="112"/>
    </row>
    <row r="46" spans="1:10" x14ac:dyDescent="0.25">
      <c r="C46" s="30"/>
      <c r="D46" s="30"/>
      <c r="E46" s="67"/>
      <c r="F46" s="112"/>
      <c r="G46" s="89"/>
      <c r="H46" s="89"/>
      <c r="I46" s="89"/>
      <c r="J46" s="112"/>
    </row>
    <row r="47" spans="1:10" x14ac:dyDescent="0.25">
      <c r="C47" s="30"/>
      <c r="D47" s="30"/>
      <c r="E47" s="67"/>
      <c r="F47" s="112"/>
      <c r="G47" s="89"/>
      <c r="H47" s="89"/>
      <c r="I47" s="89"/>
      <c r="J47" s="112"/>
    </row>
    <row r="48" spans="1:10" x14ac:dyDescent="0.25">
      <c r="C48" s="30"/>
      <c r="D48" s="30"/>
      <c r="E48" s="67"/>
      <c r="F48" s="112"/>
      <c r="G48" s="89"/>
      <c r="H48" s="89"/>
      <c r="I48" s="89"/>
      <c r="J48" s="112"/>
    </row>
    <row r="49" spans="3:10" x14ac:dyDescent="0.25">
      <c r="C49" s="30"/>
      <c r="D49" s="30"/>
      <c r="E49" s="67"/>
      <c r="F49" s="112"/>
      <c r="G49" s="89"/>
      <c r="H49" s="89"/>
      <c r="I49" s="89"/>
      <c r="J49" s="112"/>
    </row>
    <row r="50" spans="3:10" x14ac:dyDescent="0.25">
      <c r="C50" s="30"/>
      <c r="D50" s="30"/>
      <c r="E50" s="67"/>
      <c r="F50" s="112"/>
      <c r="G50" s="89"/>
      <c r="H50" s="89"/>
      <c r="I50" s="89"/>
      <c r="J50" s="112"/>
    </row>
    <row r="51" spans="3:10" x14ac:dyDescent="0.25">
      <c r="C51" s="30"/>
      <c r="D51" s="30"/>
      <c r="E51" s="67"/>
      <c r="F51" s="112"/>
      <c r="G51" s="89"/>
      <c r="H51" s="89"/>
      <c r="I51" s="89"/>
      <c r="J51" s="112"/>
    </row>
    <row r="52" spans="3:10" x14ac:dyDescent="0.25">
      <c r="C52" s="30"/>
      <c r="D52" s="30"/>
      <c r="E52" s="67"/>
      <c r="F52" s="112"/>
      <c r="G52" s="89"/>
      <c r="H52" s="89"/>
      <c r="I52" s="89"/>
      <c r="J52" s="112"/>
    </row>
    <row r="53" spans="3:10" x14ac:dyDescent="0.25">
      <c r="C53" s="30"/>
      <c r="D53" s="30"/>
      <c r="E53" s="67"/>
      <c r="F53" s="112"/>
      <c r="G53" s="89"/>
      <c r="H53" s="89"/>
      <c r="I53" s="89"/>
      <c r="J53" s="112"/>
    </row>
    <row r="54" spans="3:10" x14ac:dyDescent="0.25">
      <c r="C54" s="30"/>
      <c r="D54" s="30"/>
      <c r="E54" s="67"/>
      <c r="F54" s="112"/>
      <c r="G54" s="89"/>
      <c r="H54" s="89"/>
      <c r="I54" s="89"/>
      <c r="J54" s="112"/>
    </row>
    <row r="55" spans="3:10" x14ac:dyDescent="0.25">
      <c r="C55" s="30"/>
      <c r="D55" s="30"/>
      <c r="E55" s="67"/>
      <c r="F55" s="112"/>
      <c r="G55" s="89"/>
      <c r="H55" s="89"/>
      <c r="I55" s="89"/>
      <c r="J55" s="112"/>
    </row>
    <row r="56" spans="3:10" x14ac:dyDescent="0.25">
      <c r="C56" s="30"/>
      <c r="D56" s="30"/>
      <c r="E56" s="67"/>
      <c r="F56" s="112"/>
      <c r="G56" s="89"/>
      <c r="H56" s="89"/>
      <c r="I56" s="89"/>
      <c r="J56" s="112"/>
    </row>
    <row r="57" spans="3:10" x14ac:dyDescent="0.25">
      <c r="C57" s="30"/>
      <c r="D57" s="30"/>
      <c r="E57" s="67"/>
      <c r="F57" s="112"/>
      <c r="G57" s="89"/>
      <c r="H57" s="89"/>
      <c r="I57" s="89"/>
      <c r="J57" s="112"/>
    </row>
    <row r="58" spans="3:10" x14ac:dyDescent="0.25">
      <c r="C58" s="30"/>
      <c r="D58" s="30"/>
      <c r="E58" s="67"/>
      <c r="F58" s="112"/>
      <c r="G58" s="89"/>
      <c r="H58" s="89"/>
      <c r="I58" s="89"/>
      <c r="J58" s="112"/>
    </row>
    <row r="59" spans="3:10" x14ac:dyDescent="0.25">
      <c r="C59" s="30"/>
      <c r="D59" s="30"/>
      <c r="E59" s="67"/>
      <c r="F59" s="112"/>
      <c r="G59" s="89"/>
      <c r="H59" s="89"/>
      <c r="I59" s="89"/>
      <c r="J59" s="112"/>
    </row>
    <row r="60" spans="3:10" x14ac:dyDescent="0.25">
      <c r="C60" s="30"/>
      <c r="D60" s="30"/>
      <c r="E60" s="67"/>
      <c r="F60" s="112"/>
      <c r="G60" s="89"/>
      <c r="H60" s="89"/>
      <c r="I60" s="89"/>
      <c r="J60" s="112"/>
    </row>
    <row r="61" spans="3:10" x14ac:dyDescent="0.25">
      <c r="C61" s="30"/>
      <c r="D61" s="30"/>
      <c r="E61" s="67"/>
      <c r="F61" s="112"/>
      <c r="G61" s="89"/>
      <c r="H61" s="89"/>
      <c r="I61" s="89"/>
      <c r="J61" s="112"/>
    </row>
    <row r="62" spans="3:10" x14ac:dyDescent="0.25">
      <c r="C62" s="30"/>
      <c r="D62" s="30"/>
      <c r="E62" s="67"/>
      <c r="F62" s="112"/>
      <c r="G62" s="89"/>
      <c r="H62" s="89"/>
      <c r="I62" s="89"/>
      <c r="J62" s="112"/>
    </row>
    <row r="63" spans="3:10" x14ac:dyDescent="0.25">
      <c r="C63" s="30"/>
      <c r="D63" s="30"/>
      <c r="E63" s="67"/>
      <c r="F63" s="112"/>
      <c r="G63" s="89"/>
      <c r="H63" s="89"/>
      <c r="I63" s="89"/>
      <c r="J63" s="112"/>
    </row>
    <row r="64" spans="3:10" x14ac:dyDescent="0.25">
      <c r="C64" s="30"/>
      <c r="D64" s="30"/>
      <c r="E64" s="67"/>
      <c r="F64" s="112"/>
      <c r="G64" s="89"/>
      <c r="H64" s="89"/>
      <c r="I64" s="89"/>
      <c r="J64" s="112"/>
    </row>
    <row r="65" spans="3:10" x14ac:dyDescent="0.25">
      <c r="C65" s="30"/>
      <c r="D65" s="30"/>
      <c r="E65" s="67"/>
      <c r="F65" s="112"/>
      <c r="G65" s="89"/>
      <c r="H65" s="89"/>
      <c r="I65" s="89"/>
      <c r="J65" s="112"/>
    </row>
    <row r="66" spans="3:10" x14ac:dyDescent="0.25">
      <c r="C66" s="30"/>
      <c r="D66" s="30"/>
      <c r="E66" s="67"/>
      <c r="F66" s="112"/>
      <c r="G66" s="89"/>
      <c r="H66" s="89"/>
      <c r="I66" s="89"/>
      <c r="J66" s="112"/>
    </row>
    <row r="67" spans="3:10" x14ac:dyDescent="0.25">
      <c r="C67" s="30"/>
      <c r="D67" s="30"/>
      <c r="E67" s="67"/>
      <c r="F67" s="112"/>
      <c r="G67" s="89"/>
      <c r="H67" s="89"/>
      <c r="I67" s="89"/>
      <c r="J67" s="112"/>
    </row>
    <row r="68" spans="3:10" x14ac:dyDescent="0.25">
      <c r="C68" s="30"/>
      <c r="D68" s="30"/>
      <c r="E68" s="67"/>
      <c r="F68" s="112"/>
      <c r="G68" s="89"/>
      <c r="H68" s="89"/>
      <c r="I68" s="89"/>
      <c r="J68" s="112"/>
    </row>
    <row r="69" spans="3:10" x14ac:dyDescent="0.25">
      <c r="C69" s="30"/>
      <c r="D69" s="30"/>
      <c r="E69" s="67"/>
      <c r="F69" s="112"/>
      <c r="G69" s="89"/>
      <c r="H69" s="89"/>
      <c r="I69" s="89"/>
      <c r="J69" s="112"/>
    </row>
    <row r="70" spans="3:10" x14ac:dyDescent="0.25">
      <c r="C70" s="30"/>
      <c r="D70" s="30"/>
      <c r="E70" s="67"/>
      <c r="F70" s="112"/>
      <c r="G70" s="89"/>
      <c r="H70" s="89"/>
      <c r="I70" s="89"/>
      <c r="J70" s="112"/>
    </row>
    <row r="71" spans="3:10" x14ac:dyDescent="0.25">
      <c r="C71" s="30"/>
      <c r="D71" s="30"/>
      <c r="E71" s="67"/>
      <c r="F71" s="112"/>
      <c r="G71" s="89"/>
      <c r="H71" s="89"/>
      <c r="I71" s="89"/>
      <c r="J71" s="112"/>
    </row>
    <row r="72" spans="3:10" x14ac:dyDescent="0.25">
      <c r="C72" s="30"/>
      <c r="D72" s="30"/>
      <c r="E72" s="67"/>
      <c r="F72" s="112"/>
      <c r="G72" s="89"/>
      <c r="H72" s="89"/>
      <c r="I72" s="89"/>
      <c r="J72" s="112"/>
    </row>
    <row r="73" spans="3:10" x14ac:dyDescent="0.25">
      <c r="C73" s="30"/>
      <c r="D73" s="30"/>
      <c r="E73" s="67"/>
      <c r="F73" s="112"/>
      <c r="G73" s="89"/>
      <c r="H73" s="89"/>
      <c r="I73" s="89"/>
      <c r="J73" s="112"/>
    </row>
    <row r="74" spans="3:10" x14ac:dyDescent="0.25">
      <c r="C74" s="30"/>
      <c r="D74" s="30"/>
      <c r="E74" s="67"/>
      <c r="F74" s="112"/>
      <c r="G74" s="89"/>
      <c r="H74" s="89"/>
      <c r="I74" s="89"/>
      <c r="J74" s="112"/>
    </row>
    <row r="75" spans="3:10" x14ac:dyDescent="0.25">
      <c r="C75" s="30"/>
      <c r="D75" s="30"/>
      <c r="E75" s="67"/>
      <c r="F75" s="112"/>
      <c r="G75" s="89"/>
      <c r="H75" s="89"/>
      <c r="I75" s="89"/>
      <c r="J75" s="112"/>
    </row>
    <row r="76" spans="3:10" x14ac:dyDescent="0.25">
      <c r="C76" s="30"/>
      <c r="D76" s="30"/>
      <c r="E76" s="67"/>
      <c r="F76" s="112"/>
      <c r="G76" s="89"/>
      <c r="H76" s="89"/>
      <c r="I76" s="89"/>
      <c r="J76" s="112"/>
    </row>
    <row r="77" spans="3:10" x14ac:dyDescent="0.25">
      <c r="C77" s="30"/>
      <c r="D77" s="30"/>
      <c r="E77" s="67"/>
      <c r="F77" s="112"/>
      <c r="G77" s="89"/>
      <c r="H77" s="89"/>
      <c r="I77" s="89"/>
      <c r="J77" s="112"/>
    </row>
    <row r="78" spans="3:10" x14ac:dyDescent="0.25">
      <c r="C78" s="30"/>
      <c r="D78" s="30"/>
      <c r="E78" s="67"/>
      <c r="F78" s="112"/>
      <c r="G78" s="89"/>
      <c r="H78" s="89"/>
      <c r="I78" s="89"/>
      <c r="J78" s="112"/>
    </row>
    <row r="79" spans="3:10" x14ac:dyDescent="0.25">
      <c r="C79" s="30"/>
      <c r="D79" s="30"/>
      <c r="E79" s="67"/>
      <c r="F79" s="112"/>
      <c r="G79" s="89"/>
      <c r="H79" s="89"/>
      <c r="I79" s="89"/>
      <c r="J79" s="112"/>
    </row>
    <row r="80" spans="3:10" x14ac:dyDescent="0.25">
      <c r="C80" s="30"/>
      <c r="D80" s="30"/>
      <c r="E80" s="67"/>
      <c r="F80" s="112"/>
      <c r="G80" s="89"/>
      <c r="H80" s="89"/>
      <c r="I80" s="89"/>
      <c r="J80" s="112"/>
    </row>
    <row r="81" spans="3:10" x14ac:dyDescent="0.25">
      <c r="C81" s="30"/>
      <c r="D81" s="30"/>
      <c r="E81" s="67"/>
      <c r="F81" s="112"/>
      <c r="G81" s="89"/>
      <c r="H81" s="89"/>
      <c r="I81" s="89"/>
      <c r="J81" s="112"/>
    </row>
    <row r="82" spans="3:10" x14ac:dyDescent="0.25">
      <c r="C82" s="30"/>
      <c r="D82" s="30"/>
      <c r="E82" s="67"/>
      <c r="F82" s="112"/>
      <c r="G82" s="89"/>
      <c r="H82" s="89"/>
      <c r="I82" s="89"/>
      <c r="J82" s="112"/>
    </row>
    <row r="83" spans="3:10" x14ac:dyDescent="0.25">
      <c r="C83" s="30"/>
      <c r="D83" s="30"/>
      <c r="E83" s="67"/>
      <c r="F83" s="112"/>
      <c r="G83" s="89"/>
      <c r="H83" s="89"/>
      <c r="I83" s="89"/>
      <c r="J83" s="112"/>
    </row>
    <row r="84" spans="3:10" x14ac:dyDescent="0.25">
      <c r="C84" s="30"/>
      <c r="D84" s="30"/>
      <c r="E84" s="67"/>
      <c r="F84" s="112"/>
      <c r="G84" s="89"/>
      <c r="H84" s="89"/>
      <c r="I84" s="89"/>
      <c r="J84" s="112"/>
    </row>
    <row r="85" spans="3:10" x14ac:dyDescent="0.25">
      <c r="C85" s="30"/>
      <c r="D85" s="30"/>
      <c r="E85" s="67"/>
      <c r="F85" s="112"/>
      <c r="G85" s="89"/>
      <c r="H85" s="89"/>
      <c r="I85" s="89"/>
      <c r="J85" s="112"/>
    </row>
    <row r="86" spans="3:10" x14ac:dyDescent="0.25">
      <c r="C86" s="30"/>
      <c r="D86" s="30"/>
      <c r="E86" s="67"/>
      <c r="F86" s="112"/>
      <c r="G86" s="89"/>
      <c r="H86" s="89"/>
      <c r="I86" s="89"/>
      <c r="J86" s="112"/>
    </row>
    <row r="87" spans="3:10" x14ac:dyDescent="0.25">
      <c r="C87" s="30"/>
      <c r="D87" s="30"/>
      <c r="E87" s="67"/>
      <c r="F87" s="112"/>
      <c r="G87" s="89"/>
      <c r="H87" s="89"/>
      <c r="I87" s="89"/>
      <c r="J87" s="112"/>
    </row>
    <row r="88" spans="3:10" x14ac:dyDescent="0.25">
      <c r="C88" s="30"/>
      <c r="D88" s="30"/>
      <c r="E88" s="67"/>
      <c r="F88" s="112"/>
      <c r="G88" s="89"/>
      <c r="H88" s="89"/>
      <c r="I88" s="89"/>
      <c r="J88" s="112"/>
    </row>
    <row r="89" spans="3:10" x14ac:dyDescent="0.25">
      <c r="C89" s="30"/>
      <c r="D89" s="30"/>
      <c r="E89" s="67"/>
      <c r="F89" s="112"/>
      <c r="G89" s="89"/>
      <c r="H89" s="89"/>
      <c r="I89" s="89"/>
      <c r="J89" s="112"/>
    </row>
    <row r="90" spans="3:10" x14ac:dyDescent="0.25">
      <c r="C90" s="30"/>
      <c r="D90" s="30"/>
      <c r="E90" s="67"/>
      <c r="F90" s="112"/>
      <c r="G90" s="89"/>
      <c r="H90" s="89"/>
      <c r="I90" s="89"/>
      <c r="J90" s="112"/>
    </row>
    <row r="91" spans="3:10" x14ac:dyDescent="0.25">
      <c r="C91" s="30"/>
      <c r="D91" s="30"/>
      <c r="E91" s="67"/>
      <c r="F91" s="112"/>
      <c r="G91" s="89"/>
      <c r="H91" s="89"/>
      <c r="I91" s="89"/>
      <c r="J91" s="112"/>
    </row>
    <row r="92" spans="3:10" x14ac:dyDescent="0.25">
      <c r="C92" s="30"/>
      <c r="D92" s="30"/>
      <c r="E92" s="67"/>
      <c r="F92" s="112"/>
      <c r="G92" s="89"/>
      <c r="H92" s="89"/>
      <c r="I92" s="89"/>
      <c r="J92" s="112"/>
    </row>
    <row r="93" spans="3:10" x14ac:dyDescent="0.25">
      <c r="C93" s="30"/>
      <c r="D93" s="30"/>
      <c r="E93" s="67"/>
      <c r="F93" s="112"/>
      <c r="G93" s="89"/>
      <c r="H93" s="89"/>
      <c r="I93" s="89"/>
      <c r="J93" s="112"/>
    </row>
    <row r="94" spans="3:10" x14ac:dyDescent="0.25">
      <c r="C94" s="30"/>
      <c r="D94" s="30"/>
      <c r="E94" s="67"/>
      <c r="F94" s="112"/>
      <c r="G94" s="89"/>
      <c r="H94" s="89"/>
      <c r="I94" s="89"/>
      <c r="J94" s="112"/>
    </row>
    <row r="95" spans="3:10" x14ac:dyDescent="0.25">
      <c r="C95" s="30"/>
      <c r="D95" s="30"/>
      <c r="E95" s="67"/>
      <c r="F95" s="112"/>
      <c r="G95" s="89"/>
      <c r="H95" s="89"/>
      <c r="I95" s="89"/>
      <c r="J95" s="112"/>
    </row>
    <row r="96" spans="3:10" x14ac:dyDescent="0.25">
      <c r="C96" s="30"/>
      <c r="D96" s="30"/>
      <c r="E96" s="67"/>
      <c r="F96" s="112"/>
      <c r="G96" s="89"/>
      <c r="H96" s="89"/>
      <c r="I96" s="89"/>
      <c r="J96" s="112"/>
    </row>
    <row r="97" spans="3:10" x14ac:dyDescent="0.25">
      <c r="C97" s="30"/>
      <c r="D97" s="30"/>
      <c r="E97" s="67"/>
      <c r="F97" s="112"/>
      <c r="G97" s="89"/>
      <c r="H97" s="89"/>
      <c r="I97" s="89"/>
      <c r="J97" s="112"/>
    </row>
    <row r="98" spans="3:10" x14ac:dyDescent="0.25">
      <c r="C98" s="30"/>
      <c r="D98" s="30"/>
      <c r="E98" s="67"/>
      <c r="F98" s="112"/>
      <c r="G98" s="89"/>
      <c r="H98" s="89"/>
      <c r="I98" s="89"/>
      <c r="J98" s="112"/>
    </row>
    <row r="99" spans="3:10" x14ac:dyDescent="0.25">
      <c r="C99" s="30"/>
      <c r="D99" s="30"/>
      <c r="E99" s="67"/>
      <c r="F99" s="112"/>
      <c r="G99" s="89"/>
      <c r="H99" s="89"/>
      <c r="I99" s="89"/>
      <c r="J99" s="112"/>
    </row>
    <row r="100" spans="3:10" x14ac:dyDescent="0.25">
      <c r="C100" s="30"/>
      <c r="D100" s="30"/>
      <c r="E100" s="67"/>
      <c r="F100" s="112"/>
      <c r="G100" s="89"/>
      <c r="H100" s="89"/>
      <c r="I100" s="89"/>
      <c r="J100" s="112"/>
    </row>
    <row r="101" spans="3:10" x14ac:dyDescent="0.25">
      <c r="C101" s="30"/>
      <c r="D101" s="30"/>
      <c r="E101" s="67"/>
      <c r="F101" s="112"/>
      <c r="G101" s="89"/>
      <c r="H101" s="89"/>
      <c r="I101" s="89"/>
      <c r="J101" s="112"/>
    </row>
    <row r="102" spans="3:10" x14ac:dyDescent="0.25">
      <c r="C102" s="30"/>
      <c r="D102" s="30"/>
      <c r="E102" s="67"/>
      <c r="F102" s="112"/>
      <c r="G102" s="89"/>
      <c r="H102" s="89"/>
      <c r="I102" s="89"/>
      <c r="J102" s="112"/>
    </row>
    <row r="103" spans="3:10" x14ac:dyDescent="0.25">
      <c r="C103" s="30"/>
      <c r="D103" s="30"/>
      <c r="E103" s="67"/>
      <c r="F103" s="112"/>
      <c r="G103" s="89"/>
      <c r="H103" s="89"/>
      <c r="I103" s="89"/>
      <c r="J103" s="112"/>
    </row>
    <row r="104" spans="3:10" x14ac:dyDescent="0.25">
      <c r="C104" s="30"/>
      <c r="D104" s="30"/>
      <c r="E104" s="67"/>
      <c r="F104" s="112"/>
      <c r="G104" s="89"/>
      <c r="H104" s="89"/>
      <c r="I104" s="89"/>
      <c r="J104" s="112"/>
    </row>
    <row r="105" spans="3:10" x14ac:dyDescent="0.25">
      <c r="C105" s="30"/>
      <c r="D105" s="30"/>
      <c r="E105" s="67"/>
      <c r="F105" s="112"/>
      <c r="G105" s="89"/>
      <c r="H105" s="89"/>
      <c r="I105" s="89"/>
      <c r="J105" s="112"/>
    </row>
    <row r="106" spans="3:10" x14ac:dyDescent="0.25">
      <c r="C106" s="30"/>
      <c r="D106" s="30"/>
      <c r="E106" s="67"/>
      <c r="F106" s="112"/>
      <c r="G106" s="89"/>
      <c r="H106" s="89"/>
      <c r="I106" s="89"/>
      <c r="J106" s="112"/>
    </row>
    <row r="107" spans="3:10" x14ac:dyDescent="0.25">
      <c r="C107" s="30"/>
      <c r="D107" s="30"/>
      <c r="E107" s="67"/>
      <c r="F107" s="112"/>
      <c r="G107" s="89"/>
      <c r="H107" s="89"/>
      <c r="I107" s="89"/>
      <c r="J107" s="112"/>
    </row>
    <row r="108" spans="3:10" x14ac:dyDescent="0.25">
      <c r="C108" s="30"/>
      <c r="D108" s="30"/>
      <c r="E108" s="67"/>
      <c r="F108" s="112"/>
      <c r="G108" s="89"/>
      <c r="H108" s="89"/>
      <c r="I108" s="89"/>
      <c r="J108" s="112"/>
    </row>
    <row r="109" spans="3:10" x14ac:dyDescent="0.25">
      <c r="C109" s="30"/>
      <c r="D109" s="30"/>
      <c r="E109" s="67"/>
      <c r="F109" s="112"/>
      <c r="G109" s="89"/>
      <c r="H109" s="89"/>
      <c r="I109" s="89"/>
      <c r="J109" s="112"/>
    </row>
    <row r="110" spans="3:10" x14ac:dyDescent="0.25">
      <c r="C110" s="30"/>
      <c r="D110" s="30"/>
      <c r="E110" s="67"/>
      <c r="F110" s="112"/>
      <c r="G110" s="89"/>
      <c r="H110" s="89"/>
      <c r="I110" s="89"/>
      <c r="J110" s="112"/>
    </row>
    <row r="111" spans="3:10" x14ac:dyDescent="0.25">
      <c r="C111" s="30"/>
      <c r="D111" s="30"/>
      <c r="E111" s="67"/>
      <c r="F111" s="112"/>
      <c r="G111" s="89"/>
      <c r="H111" s="89"/>
      <c r="I111" s="89"/>
      <c r="J111" s="112"/>
    </row>
    <row r="112" spans="3:10" x14ac:dyDescent="0.25">
      <c r="C112" s="30"/>
      <c r="D112" s="30"/>
      <c r="E112" s="67"/>
      <c r="F112" s="112"/>
      <c r="G112" s="89"/>
      <c r="H112" s="89"/>
      <c r="I112" s="89"/>
      <c r="J112" s="112"/>
    </row>
    <row r="113" spans="3:10" x14ac:dyDescent="0.25">
      <c r="C113" s="30"/>
      <c r="D113" s="30"/>
      <c r="E113" s="67"/>
      <c r="F113" s="112"/>
      <c r="G113" s="89"/>
      <c r="H113" s="89"/>
      <c r="I113" s="89"/>
      <c r="J113" s="112"/>
    </row>
    <row r="114" spans="3:10" x14ac:dyDescent="0.25">
      <c r="C114" s="30"/>
      <c r="D114" s="30"/>
      <c r="E114" s="67"/>
      <c r="F114" s="112"/>
      <c r="G114" s="89"/>
      <c r="H114" s="89"/>
      <c r="I114" s="89"/>
      <c r="J114" s="112"/>
    </row>
    <row r="115" spans="3:10" x14ac:dyDescent="0.25">
      <c r="C115" s="30"/>
      <c r="D115" s="30"/>
      <c r="E115" s="67"/>
      <c r="F115" s="112"/>
      <c r="G115" s="89"/>
      <c r="H115" s="89"/>
      <c r="I115" s="89"/>
      <c r="J115" s="112"/>
    </row>
    <row r="116" spans="3:10" x14ac:dyDescent="0.25">
      <c r="C116" s="30"/>
      <c r="D116" s="30"/>
      <c r="E116" s="67"/>
      <c r="F116" s="112"/>
      <c r="G116" s="89"/>
      <c r="H116" s="89"/>
      <c r="I116" s="89"/>
      <c r="J116" s="112"/>
    </row>
    <row r="117" spans="3:10" x14ac:dyDescent="0.25">
      <c r="C117" s="30"/>
      <c r="D117" s="30"/>
      <c r="E117" s="67"/>
      <c r="F117" s="112"/>
      <c r="G117" s="89"/>
      <c r="H117" s="89"/>
      <c r="I117" s="89"/>
      <c r="J117" s="112"/>
    </row>
    <row r="118" spans="3:10" x14ac:dyDescent="0.25">
      <c r="C118" s="30"/>
      <c r="D118" s="30"/>
      <c r="E118" s="67"/>
      <c r="F118" s="112"/>
      <c r="G118" s="89"/>
      <c r="H118" s="89"/>
      <c r="I118" s="89"/>
      <c r="J118" s="112"/>
    </row>
    <row r="119" spans="3:10" x14ac:dyDescent="0.25">
      <c r="C119" s="30"/>
      <c r="D119" s="30"/>
      <c r="E119" s="67"/>
      <c r="F119" s="112"/>
      <c r="G119" s="89"/>
      <c r="H119" s="89"/>
      <c r="I119" s="89"/>
      <c r="J119" s="112"/>
    </row>
    <row r="120" spans="3:10" x14ac:dyDescent="0.25">
      <c r="C120" s="30"/>
      <c r="D120" s="30"/>
      <c r="E120" s="67"/>
      <c r="F120" s="112"/>
      <c r="G120" s="89"/>
      <c r="H120" s="89"/>
      <c r="I120" s="89"/>
      <c r="J120" s="112"/>
    </row>
    <row r="121" spans="3:10" x14ac:dyDescent="0.25">
      <c r="C121" s="30"/>
      <c r="D121" s="30"/>
      <c r="E121" s="67"/>
      <c r="F121" s="112"/>
      <c r="G121" s="89"/>
      <c r="H121" s="89"/>
      <c r="I121" s="89"/>
      <c r="J121" s="112"/>
    </row>
    <row r="122" spans="3:10" x14ac:dyDescent="0.25">
      <c r="C122" s="30"/>
      <c r="D122" s="30"/>
      <c r="E122" s="67"/>
      <c r="F122" s="112"/>
      <c r="G122" s="89"/>
      <c r="H122" s="89"/>
      <c r="I122" s="89"/>
      <c r="J122" s="112"/>
    </row>
    <row r="123" spans="3:10" x14ac:dyDescent="0.25">
      <c r="C123" s="30"/>
      <c r="D123" s="30"/>
      <c r="E123" s="67"/>
      <c r="F123" s="112"/>
      <c r="G123" s="89"/>
      <c r="H123" s="89"/>
      <c r="I123" s="89"/>
      <c r="J123" s="112"/>
    </row>
    <row r="124" spans="3:10" x14ac:dyDescent="0.25">
      <c r="C124" s="30"/>
      <c r="D124" s="30"/>
      <c r="E124" s="67"/>
      <c r="F124" s="112"/>
      <c r="G124" s="89"/>
      <c r="H124" s="89"/>
      <c r="I124" s="89"/>
      <c r="J124" s="112"/>
    </row>
    <row r="125" spans="3:10" x14ac:dyDescent="0.25">
      <c r="C125" s="30"/>
      <c r="D125" s="30"/>
      <c r="E125" s="67"/>
      <c r="F125" s="112"/>
      <c r="G125" s="89"/>
      <c r="H125" s="89"/>
      <c r="I125" s="89"/>
      <c r="J125" s="112"/>
    </row>
    <row r="126" spans="3:10" x14ac:dyDescent="0.25">
      <c r="C126" s="30"/>
      <c r="D126" s="30"/>
      <c r="E126" s="67"/>
      <c r="F126" s="112"/>
      <c r="G126" s="89"/>
      <c r="H126" s="89"/>
      <c r="I126" s="89"/>
      <c r="J126" s="112"/>
    </row>
    <row r="127" spans="3:10" x14ac:dyDescent="0.25">
      <c r="C127" s="30"/>
      <c r="D127" s="30"/>
      <c r="E127" s="67"/>
      <c r="F127" s="112"/>
      <c r="G127" s="89"/>
      <c r="H127" s="89"/>
      <c r="I127" s="89"/>
      <c r="J127" s="112"/>
    </row>
    <row r="128" spans="3:10" x14ac:dyDescent="0.25">
      <c r="C128" s="30"/>
      <c r="D128" s="30"/>
      <c r="E128" s="67"/>
      <c r="F128" s="112"/>
      <c r="G128" s="89"/>
      <c r="H128" s="89"/>
      <c r="I128" s="89"/>
      <c r="J128" s="112"/>
    </row>
    <row r="129" spans="3:10" x14ac:dyDescent="0.25">
      <c r="C129" s="30"/>
      <c r="D129" s="30"/>
      <c r="E129" s="67"/>
      <c r="F129" s="112"/>
      <c r="G129" s="89"/>
      <c r="H129" s="89"/>
      <c r="I129" s="89"/>
      <c r="J129" s="112"/>
    </row>
    <row r="130" spans="3:10" x14ac:dyDescent="0.25">
      <c r="C130" s="30"/>
      <c r="D130" s="30"/>
      <c r="E130" s="67"/>
      <c r="F130" s="112"/>
      <c r="G130" s="89"/>
      <c r="H130" s="89"/>
      <c r="I130" s="89"/>
      <c r="J130" s="112"/>
    </row>
    <row r="131" spans="3:10" x14ac:dyDescent="0.25">
      <c r="C131" s="30"/>
      <c r="D131" s="30"/>
      <c r="E131" s="67"/>
      <c r="F131" s="112"/>
      <c r="G131" s="89"/>
      <c r="H131" s="89"/>
      <c r="I131" s="89"/>
      <c r="J131" s="112"/>
    </row>
    <row r="132" spans="3:10" x14ac:dyDescent="0.25">
      <c r="C132" s="30"/>
      <c r="D132" s="30"/>
      <c r="E132" s="67"/>
      <c r="F132" s="112"/>
      <c r="G132" s="89"/>
      <c r="H132" s="89"/>
      <c r="I132" s="89"/>
      <c r="J132" s="112"/>
    </row>
    <row r="133" spans="3:10" x14ac:dyDescent="0.25">
      <c r="C133" s="30"/>
      <c r="D133" s="30"/>
      <c r="E133" s="67"/>
      <c r="F133" s="112"/>
      <c r="G133" s="89"/>
      <c r="H133" s="89"/>
      <c r="I133" s="89"/>
      <c r="J133" s="112"/>
    </row>
    <row r="134" spans="3:10" x14ac:dyDescent="0.25">
      <c r="C134" s="30"/>
      <c r="D134" s="30"/>
      <c r="E134" s="67"/>
      <c r="F134" s="112"/>
      <c r="G134" s="89"/>
      <c r="H134" s="89"/>
      <c r="I134" s="89"/>
      <c r="J134" s="112"/>
    </row>
    <row r="135" spans="3:10" x14ac:dyDescent="0.25">
      <c r="C135" s="30"/>
      <c r="D135" s="30"/>
      <c r="E135" s="67"/>
      <c r="F135" s="112"/>
      <c r="G135" s="89"/>
      <c r="H135" s="89"/>
      <c r="I135" s="89"/>
      <c r="J135" s="112"/>
    </row>
    <row r="136" spans="3:10" x14ac:dyDescent="0.25">
      <c r="C136" s="30"/>
      <c r="D136" s="30"/>
      <c r="E136" s="67"/>
      <c r="F136" s="112"/>
      <c r="G136" s="89"/>
      <c r="H136" s="89"/>
      <c r="I136" s="89"/>
      <c r="J136" s="112"/>
    </row>
    <row r="137" spans="3:10" x14ac:dyDescent="0.25">
      <c r="C137" s="30"/>
      <c r="D137" s="30"/>
      <c r="E137" s="67"/>
      <c r="F137" s="112"/>
      <c r="G137" s="89"/>
      <c r="H137" s="89"/>
      <c r="I137" s="89"/>
      <c r="J137" s="112"/>
    </row>
    <row r="138" spans="3:10" x14ac:dyDescent="0.25">
      <c r="C138" s="30"/>
      <c r="D138" s="30"/>
      <c r="E138" s="67"/>
      <c r="F138" s="112"/>
      <c r="G138" s="89"/>
      <c r="H138" s="89"/>
      <c r="I138" s="89"/>
      <c r="J138" s="112"/>
    </row>
    <row r="139" spans="3:10" x14ac:dyDescent="0.25">
      <c r="C139" s="30"/>
      <c r="D139" s="30"/>
      <c r="E139" s="67"/>
      <c r="F139" s="112"/>
      <c r="G139" s="89"/>
      <c r="H139" s="89"/>
      <c r="I139" s="89"/>
      <c r="J139" s="112"/>
    </row>
    <row r="140" spans="3:10" x14ac:dyDescent="0.25">
      <c r="C140" s="30"/>
      <c r="D140" s="30"/>
      <c r="E140" s="67"/>
      <c r="F140" s="112"/>
      <c r="G140" s="89"/>
      <c r="H140" s="89"/>
      <c r="I140" s="89"/>
      <c r="J140" s="112"/>
    </row>
    <row r="141" spans="3:10" x14ac:dyDescent="0.25">
      <c r="C141" s="30"/>
      <c r="D141" s="30"/>
      <c r="E141" s="67"/>
      <c r="F141" s="112"/>
      <c r="G141" s="89"/>
      <c r="H141" s="89"/>
      <c r="I141" s="89"/>
      <c r="J141" s="112"/>
    </row>
    <row r="142" spans="3:10" x14ac:dyDescent="0.25">
      <c r="C142" s="30"/>
      <c r="D142" s="30"/>
      <c r="E142" s="67"/>
      <c r="F142" s="112"/>
      <c r="G142" s="89"/>
      <c r="H142" s="89"/>
      <c r="I142" s="89"/>
      <c r="J142" s="112"/>
    </row>
    <row r="143" spans="3:10" x14ac:dyDescent="0.25">
      <c r="C143" s="30"/>
      <c r="D143" s="30"/>
      <c r="E143" s="67"/>
      <c r="F143" s="112"/>
      <c r="G143" s="89"/>
      <c r="H143" s="89"/>
      <c r="I143" s="89"/>
      <c r="J143" s="112"/>
    </row>
    <row r="144" spans="3:10" x14ac:dyDescent="0.25">
      <c r="C144" s="30"/>
      <c r="D144" s="30"/>
      <c r="E144" s="67"/>
      <c r="F144" s="112"/>
      <c r="G144" s="89"/>
      <c r="H144" s="89"/>
      <c r="I144" s="89"/>
      <c r="J144" s="112"/>
    </row>
    <row r="145" spans="3:10" x14ac:dyDescent="0.25">
      <c r="C145" s="30"/>
      <c r="D145" s="30"/>
      <c r="E145" s="67"/>
      <c r="F145" s="112"/>
      <c r="G145" s="89"/>
      <c r="H145" s="89"/>
      <c r="I145" s="89"/>
      <c r="J145" s="112"/>
    </row>
    <row r="146" spans="3:10" x14ac:dyDescent="0.25">
      <c r="C146" s="30"/>
      <c r="D146" s="30"/>
      <c r="E146" s="67"/>
      <c r="F146" s="112"/>
      <c r="G146" s="89"/>
      <c r="H146" s="89"/>
      <c r="I146" s="89"/>
      <c r="J146" s="112"/>
    </row>
    <row r="147" spans="3:10" x14ac:dyDescent="0.25">
      <c r="C147" s="30"/>
      <c r="D147" s="30"/>
      <c r="E147" s="67"/>
      <c r="F147" s="112"/>
      <c r="G147" s="89"/>
      <c r="H147" s="89"/>
      <c r="I147" s="89"/>
      <c r="J147" s="112"/>
    </row>
    <row r="148" spans="3:10" x14ac:dyDescent="0.25">
      <c r="C148" s="30"/>
      <c r="D148" s="30"/>
      <c r="E148" s="67"/>
      <c r="F148" s="112"/>
      <c r="G148" s="89"/>
      <c r="H148" s="89"/>
      <c r="I148" s="89"/>
      <c r="J148" s="112"/>
    </row>
    <row r="149" spans="3:10" x14ac:dyDescent="0.25">
      <c r="C149" s="30"/>
      <c r="D149" s="30"/>
      <c r="E149" s="67"/>
      <c r="F149" s="112"/>
      <c r="G149" s="89"/>
      <c r="H149" s="89"/>
      <c r="I149" s="89"/>
      <c r="J149" s="112"/>
    </row>
    <row r="150" spans="3:10" x14ac:dyDescent="0.25">
      <c r="C150" s="30"/>
      <c r="D150" s="30"/>
      <c r="E150" s="67"/>
      <c r="F150" s="112"/>
      <c r="G150" s="89"/>
      <c r="H150" s="89"/>
      <c r="I150" s="89"/>
      <c r="J150" s="112"/>
    </row>
    <row r="151" spans="3:10" x14ac:dyDescent="0.25">
      <c r="C151" s="30"/>
      <c r="D151" s="30"/>
      <c r="E151" s="67"/>
      <c r="F151" s="112"/>
      <c r="G151" s="89"/>
      <c r="H151" s="89"/>
      <c r="I151" s="89"/>
      <c r="J151" s="112"/>
    </row>
    <row r="152" spans="3:10" x14ac:dyDescent="0.25">
      <c r="C152" s="30"/>
      <c r="D152" s="30"/>
      <c r="E152" s="67"/>
      <c r="F152" s="112"/>
      <c r="G152" s="89"/>
      <c r="H152" s="89"/>
      <c r="I152" s="89"/>
      <c r="J152" s="112"/>
    </row>
    <row r="153" spans="3:10" x14ac:dyDescent="0.25">
      <c r="C153" s="30"/>
      <c r="D153" s="30"/>
      <c r="E153" s="67"/>
      <c r="F153" s="112"/>
      <c r="G153" s="89"/>
      <c r="H153" s="89"/>
      <c r="I153" s="89"/>
      <c r="J153" s="112"/>
    </row>
    <row r="154" spans="3:10" x14ac:dyDescent="0.25">
      <c r="C154" s="30"/>
      <c r="D154" s="30"/>
      <c r="E154" s="67"/>
      <c r="F154" s="112"/>
      <c r="G154" s="89"/>
      <c r="H154" s="89"/>
      <c r="I154" s="89"/>
      <c r="J154" s="112"/>
    </row>
    <row r="155" spans="3:10" x14ac:dyDescent="0.25">
      <c r="C155" s="30"/>
      <c r="D155" s="30"/>
      <c r="E155" s="67"/>
      <c r="F155" s="112"/>
      <c r="G155" s="89"/>
      <c r="H155" s="89"/>
      <c r="I155" s="89"/>
      <c r="J155" s="112"/>
    </row>
    <row r="156" spans="3:10" x14ac:dyDescent="0.25">
      <c r="C156" s="30"/>
      <c r="D156" s="30"/>
      <c r="E156" s="67"/>
      <c r="F156" s="112"/>
      <c r="G156" s="89"/>
      <c r="H156" s="89"/>
      <c r="I156" s="89"/>
      <c r="J156" s="112"/>
    </row>
    <row r="157" spans="3:10" x14ac:dyDescent="0.25">
      <c r="C157" s="30"/>
      <c r="D157" s="30"/>
      <c r="E157" s="67"/>
      <c r="F157" s="112"/>
      <c r="G157" s="89"/>
      <c r="H157" s="89"/>
      <c r="I157" s="89"/>
      <c r="J157" s="112"/>
    </row>
    <row r="158" spans="3:10" x14ac:dyDescent="0.25">
      <c r="C158" s="30"/>
      <c r="D158" s="30"/>
      <c r="E158" s="67"/>
      <c r="F158" s="112"/>
      <c r="G158" s="89"/>
      <c r="H158" s="89"/>
      <c r="I158" s="89"/>
      <c r="J158" s="112"/>
    </row>
    <row r="159" spans="3:10" x14ac:dyDescent="0.25">
      <c r="C159" s="30"/>
      <c r="D159" s="30"/>
      <c r="E159" s="67"/>
      <c r="F159" s="112"/>
      <c r="G159" s="89"/>
      <c r="H159" s="89"/>
      <c r="I159" s="89"/>
      <c r="J159" s="112"/>
    </row>
    <row r="160" spans="3:10" x14ac:dyDescent="0.25">
      <c r="C160" s="30"/>
      <c r="D160" s="30"/>
      <c r="E160" s="67"/>
      <c r="F160" s="112"/>
      <c r="G160" s="89"/>
      <c r="H160" s="89"/>
      <c r="I160" s="89"/>
      <c r="J160" s="112"/>
    </row>
    <row r="161" spans="3:10" x14ac:dyDescent="0.25">
      <c r="C161" s="30"/>
      <c r="D161" s="30"/>
      <c r="E161" s="67"/>
      <c r="F161" s="112"/>
      <c r="G161" s="89"/>
      <c r="H161" s="89"/>
      <c r="I161" s="89"/>
      <c r="J161" s="112"/>
    </row>
    <row r="162" spans="3:10" x14ac:dyDescent="0.25">
      <c r="C162" s="30"/>
      <c r="D162" s="30"/>
      <c r="E162" s="67"/>
      <c r="F162" s="112"/>
      <c r="G162" s="89"/>
      <c r="H162" s="89"/>
      <c r="I162" s="89"/>
      <c r="J162" s="112"/>
    </row>
    <row r="163" spans="3:10" x14ac:dyDescent="0.25">
      <c r="C163" s="30"/>
      <c r="D163" s="30"/>
      <c r="E163" s="67"/>
      <c r="F163" s="112"/>
      <c r="G163" s="89"/>
      <c r="H163" s="89"/>
      <c r="I163" s="89"/>
      <c r="J163" s="112"/>
    </row>
    <row r="164" spans="3:10" x14ac:dyDescent="0.25">
      <c r="C164" s="30"/>
      <c r="D164" s="30"/>
      <c r="E164" s="67"/>
      <c r="F164" s="112"/>
      <c r="G164" s="89"/>
      <c r="H164" s="89"/>
      <c r="I164" s="89"/>
      <c r="J164" s="112"/>
    </row>
    <row r="165" spans="3:10" x14ac:dyDescent="0.25">
      <c r="C165" s="30"/>
      <c r="D165" s="30"/>
      <c r="E165" s="67"/>
      <c r="F165" s="112"/>
      <c r="G165" s="89"/>
      <c r="H165" s="89"/>
      <c r="I165" s="89"/>
      <c r="J165" s="112"/>
    </row>
    <row r="166" spans="3:10" x14ac:dyDescent="0.25">
      <c r="C166" s="30"/>
      <c r="D166" s="30"/>
      <c r="E166" s="67"/>
      <c r="F166" s="112"/>
      <c r="G166" s="89"/>
      <c r="H166" s="89"/>
      <c r="I166" s="89"/>
      <c r="J166" s="112"/>
    </row>
    <row r="167" spans="3:10" x14ac:dyDescent="0.25">
      <c r="C167" s="30"/>
      <c r="D167" s="30"/>
      <c r="E167" s="67"/>
      <c r="F167" s="112"/>
      <c r="G167" s="89"/>
      <c r="H167" s="89"/>
      <c r="I167" s="89"/>
      <c r="J167" s="112"/>
    </row>
    <row r="168" spans="3:10" x14ac:dyDescent="0.25">
      <c r="C168" s="30"/>
      <c r="D168" s="30"/>
      <c r="E168" s="67"/>
      <c r="F168" s="112"/>
      <c r="G168" s="89"/>
      <c r="H168" s="89"/>
      <c r="I168" s="89"/>
      <c r="J168" s="112"/>
    </row>
    <row r="169" spans="3:10" x14ac:dyDescent="0.25">
      <c r="C169" s="30"/>
      <c r="D169" s="30"/>
      <c r="E169" s="67"/>
      <c r="F169" s="112"/>
      <c r="G169" s="89"/>
      <c r="H169" s="89"/>
      <c r="I169" s="89"/>
      <c r="J169" s="112"/>
    </row>
    <row r="170" spans="3:10" x14ac:dyDescent="0.25">
      <c r="C170" s="30"/>
      <c r="D170" s="30"/>
      <c r="E170" s="67"/>
      <c r="F170" s="112"/>
      <c r="G170" s="89"/>
      <c r="H170" s="89"/>
      <c r="I170" s="89"/>
      <c r="J170" s="112"/>
    </row>
    <row r="171" spans="3:10" x14ac:dyDescent="0.25">
      <c r="C171" s="30"/>
      <c r="D171" s="30"/>
      <c r="E171" s="67"/>
      <c r="F171" s="112"/>
      <c r="G171" s="89"/>
      <c r="H171" s="89"/>
      <c r="I171" s="89"/>
      <c r="J171" s="112"/>
    </row>
    <row r="172" spans="3:10" x14ac:dyDescent="0.25">
      <c r="C172" s="30"/>
      <c r="D172" s="30"/>
      <c r="E172" s="67"/>
      <c r="F172" s="112"/>
      <c r="G172" s="89"/>
      <c r="H172" s="89"/>
      <c r="I172" s="89"/>
      <c r="J172" s="112"/>
    </row>
    <row r="173" spans="3:10" x14ac:dyDescent="0.25">
      <c r="C173" s="30"/>
      <c r="D173" s="30"/>
      <c r="E173" s="67"/>
      <c r="F173" s="112"/>
      <c r="G173" s="89"/>
      <c r="H173" s="89"/>
      <c r="I173" s="89"/>
      <c r="J173" s="112"/>
    </row>
    <row r="174" spans="3:10" x14ac:dyDescent="0.25">
      <c r="C174" s="30"/>
      <c r="D174" s="30"/>
      <c r="E174" s="67"/>
      <c r="F174" s="112"/>
      <c r="G174" s="89"/>
      <c r="H174" s="89"/>
      <c r="I174" s="89"/>
      <c r="J174" s="112"/>
    </row>
    <row r="175" spans="3:10" x14ac:dyDescent="0.25">
      <c r="C175" s="30"/>
      <c r="D175" s="30"/>
      <c r="E175" s="67"/>
      <c r="F175" s="112"/>
      <c r="G175" s="89"/>
      <c r="H175" s="89"/>
      <c r="I175" s="89"/>
      <c r="J175" s="112"/>
    </row>
    <row r="176" spans="3:10" x14ac:dyDescent="0.25">
      <c r="C176" s="30"/>
      <c r="D176" s="30"/>
      <c r="E176" s="67"/>
      <c r="F176" s="112"/>
      <c r="G176" s="89"/>
      <c r="H176" s="89"/>
      <c r="I176" s="89"/>
      <c r="J176" s="112"/>
    </row>
    <row r="177" spans="3:10" x14ac:dyDescent="0.25">
      <c r="C177" s="30"/>
      <c r="D177" s="30"/>
      <c r="E177" s="67"/>
      <c r="F177" s="112"/>
      <c r="G177" s="89"/>
      <c r="H177" s="89"/>
      <c r="I177" s="89"/>
      <c r="J177" s="112"/>
    </row>
    <row r="178" spans="3:10" x14ac:dyDescent="0.25">
      <c r="C178" s="30"/>
      <c r="D178" s="30"/>
      <c r="E178" s="67"/>
      <c r="F178" s="112"/>
      <c r="G178" s="89"/>
      <c r="H178" s="89"/>
      <c r="I178" s="89"/>
      <c r="J178" s="112"/>
    </row>
    <row r="179" spans="3:10" x14ac:dyDescent="0.25">
      <c r="C179" s="30"/>
      <c r="D179" s="30"/>
      <c r="E179" s="67"/>
      <c r="F179" s="112"/>
      <c r="G179" s="89"/>
      <c r="H179" s="89"/>
      <c r="I179" s="89"/>
      <c r="J179" s="112"/>
    </row>
    <row r="180" spans="3:10" x14ac:dyDescent="0.25">
      <c r="C180" s="30"/>
      <c r="D180" s="30"/>
      <c r="E180" s="67"/>
      <c r="F180" s="112"/>
      <c r="G180" s="89"/>
      <c r="H180" s="89"/>
      <c r="I180" s="89"/>
      <c r="J180" s="112"/>
    </row>
    <row r="181" spans="3:10" x14ac:dyDescent="0.25">
      <c r="C181" s="30"/>
      <c r="D181" s="30"/>
      <c r="E181" s="67"/>
      <c r="F181" s="112"/>
      <c r="G181" s="89"/>
      <c r="H181" s="89"/>
      <c r="I181" s="89"/>
      <c r="J181" s="112"/>
    </row>
    <row r="182" spans="3:10" x14ac:dyDescent="0.25">
      <c r="C182" s="30"/>
      <c r="D182" s="30"/>
      <c r="E182" s="67"/>
      <c r="F182" s="112"/>
      <c r="G182" s="89"/>
      <c r="H182" s="89"/>
      <c r="I182" s="89"/>
      <c r="J182" s="112"/>
    </row>
    <row r="183" spans="3:10" x14ac:dyDescent="0.25">
      <c r="C183" s="30"/>
      <c r="D183" s="30"/>
      <c r="E183" s="67"/>
      <c r="F183" s="112"/>
      <c r="G183" s="89"/>
      <c r="H183" s="89"/>
      <c r="I183" s="89"/>
      <c r="J183" s="112"/>
    </row>
    <row r="184" spans="3:10" x14ac:dyDescent="0.25">
      <c r="C184" s="30"/>
      <c r="D184" s="30"/>
      <c r="E184" s="67"/>
      <c r="F184" s="112"/>
      <c r="G184" s="89"/>
      <c r="H184" s="89"/>
      <c r="I184" s="89"/>
      <c r="J184" s="112"/>
    </row>
    <row r="185" spans="3:10" x14ac:dyDescent="0.25">
      <c r="C185" s="30"/>
      <c r="D185" s="30"/>
      <c r="E185" s="67"/>
      <c r="F185" s="112"/>
      <c r="G185" s="89"/>
      <c r="H185" s="89"/>
      <c r="I185" s="89"/>
      <c r="J185" s="112"/>
    </row>
    <row r="186" spans="3:10" x14ac:dyDescent="0.25">
      <c r="C186" s="30"/>
      <c r="D186" s="30"/>
      <c r="E186" s="67"/>
      <c r="F186" s="112"/>
      <c r="G186" s="89"/>
      <c r="H186" s="89"/>
      <c r="I186" s="89"/>
      <c r="J186" s="112"/>
    </row>
    <row r="187" spans="3:10" x14ac:dyDescent="0.25">
      <c r="C187" s="30"/>
      <c r="D187" s="30"/>
      <c r="E187" s="67"/>
      <c r="F187" s="112"/>
      <c r="G187" s="89"/>
      <c r="H187" s="89"/>
      <c r="I187" s="89"/>
      <c r="J187" s="112"/>
    </row>
    <row r="188" spans="3:10" x14ac:dyDescent="0.25">
      <c r="C188" s="30"/>
      <c r="D188" s="30"/>
      <c r="E188" s="67"/>
      <c r="F188" s="112"/>
      <c r="G188" s="89"/>
      <c r="H188" s="89"/>
      <c r="I188" s="89"/>
      <c r="J188" s="112"/>
    </row>
    <row r="189" spans="3:10" x14ac:dyDescent="0.25">
      <c r="C189" s="30"/>
      <c r="D189" s="30"/>
      <c r="E189" s="67"/>
      <c r="F189" s="112"/>
      <c r="G189" s="89"/>
      <c r="H189" s="89"/>
      <c r="I189" s="89"/>
      <c r="J189" s="112"/>
    </row>
    <row r="190" spans="3:10" x14ac:dyDescent="0.25">
      <c r="C190" s="30"/>
      <c r="D190" s="30"/>
      <c r="E190" s="67"/>
      <c r="F190" s="112"/>
      <c r="G190" s="89"/>
      <c r="H190" s="89"/>
      <c r="I190" s="89"/>
      <c r="J190" s="112"/>
    </row>
    <row r="191" spans="3:10" x14ac:dyDescent="0.25">
      <c r="C191" s="30"/>
      <c r="D191" s="30"/>
      <c r="E191" s="67"/>
      <c r="F191" s="112"/>
      <c r="G191" s="89"/>
      <c r="H191" s="89"/>
      <c r="I191" s="89"/>
      <c r="J191" s="112"/>
    </row>
    <row r="192" spans="3:10" x14ac:dyDescent="0.25">
      <c r="C192" s="30"/>
      <c r="D192" s="30"/>
      <c r="E192" s="67"/>
      <c r="F192" s="112"/>
      <c r="G192" s="89"/>
      <c r="H192" s="89"/>
      <c r="I192" s="89"/>
      <c r="J192" s="112"/>
    </row>
    <row r="193" spans="3:10" x14ac:dyDescent="0.25">
      <c r="C193" s="30"/>
      <c r="D193" s="30"/>
      <c r="E193" s="67"/>
      <c r="F193" s="112"/>
      <c r="G193" s="89"/>
      <c r="H193" s="89"/>
      <c r="I193" s="89"/>
      <c r="J193" s="112"/>
    </row>
    <row r="194" spans="3:10" x14ac:dyDescent="0.25">
      <c r="C194" s="30"/>
      <c r="D194" s="30"/>
      <c r="E194" s="67"/>
      <c r="F194" s="112"/>
      <c r="G194" s="89"/>
      <c r="H194" s="89"/>
      <c r="I194" s="89"/>
      <c r="J194" s="112"/>
    </row>
    <row r="195" spans="3:10" x14ac:dyDescent="0.25">
      <c r="C195" s="30"/>
      <c r="D195" s="30"/>
      <c r="E195" s="67"/>
      <c r="F195" s="112"/>
      <c r="G195" s="89"/>
      <c r="H195" s="89"/>
      <c r="I195" s="89"/>
      <c r="J195" s="112"/>
    </row>
    <row r="196" spans="3:10" x14ac:dyDescent="0.25">
      <c r="C196" s="30"/>
      <c r="D196" s="30"/>
      <c r="E196" s="67"/>
      <c r="F196" s="112"/>
      <c r="G196" s="89"/>
      <c r="H196" s="89"/>
      <c r="I196" s="89"/>
      <c r="J196" s="112"/>
    </row>
    <row r="197" spans="3:10" x14ac:dyDescent="0.25">
      <c r="C197" s="30"/>
      <c r="D197" s="30"/>
      <c r="E197" s="67"/>
      <c r="F197" s="112"/>
      <c r="G197" s="89"/>
      <c r="H197" s="89"/>
      <c r="I197" s="89"/>
      <c r="J197" s="112"/>
    </row>
    <row r="198" spans="3:10" x14ac:dyDescent="0.25">
      <c r="C198" s="30"/>
      <c r="D198" s="30"/>
      <c r="E198" s="67"/>
      <c r="F198" s="112"/>
      <c r="G198" s="89"/>
      <c r="H198" s="89"/>
      <c r="I198" s="89"/>
      <c r="J198" s="112"/>
    </row>
    <row r="199" spans="3:10" x14ac:dyDescent="0.25">
      <c r="C199" s="30"/>
      <c r="D199" s="30"/>
      <c r="E199" s="67"/>
      <c r="F199" s="112"/>
      <c r="G199" s="89"/>
      <c r="H199" s="89"/>
      <c r="I199" s="89"/>
      <c r="J199" s="112"/>
    </row>
    <row r="200" spans="3:10" x14ac:dyDescent="0.25">
      <c r="C200" s="30"/>
      <c r="D200" s="30"/>
      <c r="E200" s="67"/>
      <c r="F200" s="112"/>
      <c r="G200" s="89"/>
      <c r="H200" s="89"/>
      <c r="I200" s="89"/>
      <c r="J200" s="112"/>
    </row>
    <row r="201" spans="3:10" x14ac:dyDescent="0.25">
      <c r="C201" s="30"/>
      <c r="D201" s="30"/>
      <c r="E201" s="67"/>
      <c r="F201" s="112"/>
      <c r="G201" s="89"/>
      <c r="H201" s="89"/>
      <c r="I201" s="89"/>
      <c r="J201" s="112"/>
    </row>
    <row r="202" spans="3:10" x14ac:dyDescent="0.25">
      <c r="C202" s="30"/>
      <c r="D202" s="30"/>
      <c r="E202" s="67"/>
      <c r="F202" s="112"/>
      <c r="G202" s="89"/>
      <c r="H202" s="89"/>
      <c r="I202" s="89"/>
      <c r="J202" s="112"/>
    </row>
    <row r="203" spans="3:10" x14ac:dyDescent="0.25">
      <c r="C203" s="30"/>
      <c r="D203" s="30"/>
      <c r="E203" s="67"/>
      <c r="F203" s="112"/>
      <c r="G203" s="89"/>
      <c r="H203" s="89"/>
      <c r="I203" s="89"/>
      <c r="J203" s="112"/>
    </row>
    <row r="204" spans="3:10" x14ac:dyDescent="0.25">
      <c r="C204" s="30"/>
      <c r="D204" s="30"/>
      <c r="E204" s="67"/>
      <c r="F204" s="112"/>
      <c r="G204" s="89"/>
      <c r="H204" s="89"/>
      <c r="I204" s="89"/>
      <c r="J204" s="112"/>
    </row>
    <row r="205" spans="3:10" x14ac:dyDescent="0.25">
      <c r="C205" s="30"/>
      <c r="D205" s="30"/>
      <c r="E205" s="67"/>
      <c r="F205" s="112"/>
      <c r="G205" s="89"/>
      <c r="H205" s="89"/>
      <c r="I205" s="89"/>
      <c r="J205" s="112"/>
    </row>
    <row r="206" spans="3:10" x14ac:dyDescent="0.25">
      <c r="C206" s="30"/>
      <c r="D206" s="30"/>
      <c r="E206" s="67"/>
      <c r="F206" s="112"/>
      <c r="G206" s="89"/>
      <c r="H206" s="89"/>
      <c r="I206" s="89"/>
      <c r="J206" s="112"/>
    </row>
    <row r="207" spans="3:10" x14ac:dyDescent="0.25">
      <c r="C207" s="30"/>
      <c r="D207" s="30"/>
      <c r="E207" s="67"/>
      <c r="F207" s="112"/>
      <c r="G207" s="89"/>
      <c r="H207" s="89"/>
      <c r="I207" s="89"/>
      <c r="J207" s="112"/>
    </row>
    <row r="208" spans="3:10" x14ac:dyDescent="0.25">
      <c r="C208" s="30"/>
      <c r="D208" s="30"/>
      <c r="E208" s="67"/>
      <c r="F208" s="112"/>
      <c r="G208" s="89"/>
      <c r="H208" s="89"/>
      <c r="I208" s="89"/>
      <c r="J208" s="112"/>
    </row>
    <row r="209" spans="3:10" x14ac:dyDescent="0.25">
      <c r="C209" s="30"/>
      <c r="D209" s="30"/>
      <c r="E209" s="67"/>
      <c r="F209" s="112"/>
      <c r="G209" s="89"/>
      <c r="H209" s="89"/>
      <c r="I209" s="89"/>
      <c r="J209" s="112"/>
    </row>
    <row r="210" spans="3:10" x14ac:dyDescent="0.25">
      <c r="C210" s="30"/>
      <c r="D210" s="30"/>
      <c r="E210" s="67"/>
      <c r="F210" s="112"/>
      <c r="G210" s="89"/>
      <c r="H210" s="89"/>
      <c r="I210" s="89"/>
      <c r="J210" s="112"/>
    </row>
    <row r="211" spans="3:10" x14ac:dyDescent="0.25">
      <c r="C211" s="30"/>
      <c r="D211" s="30"/>
      <c r="E211" s="67"/>
      <c r="F211" s="112"/>
      <c r="G211" s="89"/>
      <c r="H211" s="89"/>
      <c r="I211" s="89"/>
      <c r="J211" s="112"/>
    </row>
    <row r="212" spans="3:10" x14ac:dyDescent="0.25">
      <c r="C212" s="30"/>
      <c r="D212" s="30"/>
      <c r="E212" s="67"/>
      <c r="F212" s="112"/>
      <c r="G212" s="89"/>
      <c r="H212" s="89"/>
      <c r="I212" s="89"/>
      <c r="J212" s="112"/>
    </row>
    <row r="213" spans="3:10" x14ac:dyDescent="0.25">
      <c r="C213" s="30"/>
      <c r="D213" s="30"/>
      <c r="E213" s="67"/>
      <c r="F213" s="112"/>
      <c r="G213" s="89"/>
      <c r="H213" s="89"/>
      <c r="I213" s="89"/>
      <c r="J213" s="112"/>
    </row>
    <row r="214" spans="3:10" x14ac:dyDescent="0.25">
      <c r="C214" s="30"/>
      <c r="D214" s="30"/>
      <c r="E214" s="67"/>
      <c r="F214" s="112"/>
      <c r="G214" s="89"/>
      <c r="H214" s="89"/>
      <c r="I214" s="89"/>
      <c r="J214" s="112"/>
    </row>
    <row r="215" spans="3:10" x14ac:dyDescent="0.25">
      <c r="C215" s="30"/>
      <c r="D215" s="30"/>
      <c r="E215" s="67"/>
      <c r="F215" s="112"/>
      <c r="G215" s="89"/>
      <c r="H215" s="89"/>
      <c r="I215" s="89"/>
      <c r="J215" s="112"/>
    </row>
    <row r="216" spans="3:10" x14ac:dyDescent="0.25">
      <c r="C216" s="30"/>
      <c r="D216" s="30"/>
      <c r="E216" s="67"/>
      <c r="F216" s="112"/>
      <c r="G216" s="89"/>
      <c r="H216" s="89"/>
      <c r="I216" s="89"/>
      <c r="J216" s="112"/>
    </row>
    <row r="217" spans="3:10" x14ac:dyDescent="0.25">
      <c r="C217" s="30"/>
      <c r="D217" s="30"/>
      <c r="E217" s="67"/>
      <c r="F217" s="112"/>
      <c r="G217" s="89"/>
      <c r="H217" s="89"/>
      <c r="I217" s="89"/>
      <c r="J217" s="112"/>
    </row>
    <row r="218" spans="3:10" x14ac:dyDescent="0.25">
      <c r="C218" s="30"/>
      <c r="D218" s="30"/>
      <c r="E218" s="67"/>
      <c r="F218" s="112"/>
      <c r="G218" s="89"/>
      <c r="H218" s="89"/>
      <c r="I218" s="89"/>
      <c r="J218" s="112"/>
    </row>
    <row r="219" spans="3:10" x14ac:dyDescent="0.25">
      <c r="C219" s="30"/>
      <c r="D219" s="30"/>
      <c r="E219" s="67"/>
      <c r="F219" s="112"/>
      <c r="G219" s="89"/>
      <c r="H219" s="89"/>
      <c r="I219" s="89"/>
      <c r="J219" s="112"/>
    </row>
    <row r="220" spans="3:10" x14ac:dyDescent="0.25">
      <c r="C220" s="30"/>
      <c r="D220" s="30"/>
      <c r="E220" s="67"/>
      <c r="F220" s="112"/>
      <c r="G220" s="89"/>
      <c r="H220" s="89"/>
      <c r="I220" s="89"/>
      <c r="J220" s="112"/>
    </row>
    <row r="221" spans="3:10" x14ac:dyDescent="0.25">
      <c r="C221" s="30"/>
      <c r="D221" s="30"/>
      <c r="E221" s="67"/>
      <c r="F221" s="112"/>
      <c r="G221" s="89"/>
      <c r="H221" s="89"/>
      <c r="I221" s="89"/>
      <c r="J221" s="112"/>
    </row>
    <row r="222" spans="3:10" x14ac:dyDescent="0.25">
      <c r="C222" s="30"/>
      <c r="D222" s="30"/>
      <c r="E222" s="67"/>
      <c r="F222" s="112"/>
      <c r="G222" s="89"/>
      <c r="H222" s="89"/>
      <c r="I222" s="89"/>
      <c r="J222" s="112"/>
    </row>
    <row r="223" spans="3:10" x14ac:dyDescent="0.25">
      <c r="C223" s="30"/>
      <c r="D223" s="30"/>
      <c r="E223" s="67"/>
      <c r="F223" s="112"/>
      <c r="G223" s="89"/>
      <c r="H223" s="89"/>
      <c r="I223" s="89"/>
      <c r="J223" s="112"/>
    </row>
    <row r="224" spans="3:10" x14ac:dyDescent="0.25">
      <c r="C224" s="30"/>
      <c r="D224" s="30"/>
      <c r="E224" s="67"/>
      <c r="F224" s="112"/>
      <c r="G224" s="89"/>
      <c r="H224" s="89"/>
      <c r="I224" s="89"/>
      <c r="J224" s="112"/>
    </row>
    <row r="225" spans="3:10" x14ac:dyDescent="0.25">
      <c r="C225" s="30"/>
      <c r="D225" s="30"/>
      <c r="E225" s="67"/>
      <c r="F225" s="112"/>
      <c r="G225" s="89"/>
      <c r="H225" s="89"/>
      <c r="I225" s="89"/>
      <c r="J225" s="112"/>
    </row>
    <row r="226" spans="3:10" x14ac:dyDescent="0.25">
      <c r="C226" s="30"/>
      <c r="D226" s="30"/>
      <c r="E226" s="67"/>
      <c r="F226" s="112"/>
      <c r="G226" s="89"/>
      <c r="H226" s="89"/>
      <c r="I226" s="89"/>
      <c r="J226" s="112"/>
    </row>
    <row r="227" spans="3:10" x14ac:dyDescent="0.25">
      <c r="C227" s="30"/>
      <c r="D227" s="30"/>
      <c r="E227" s="67"/>
      <c r="F227" s="112"/>
      <c r="G227" s="89"/>
      <c r="H227" s="89"/>
      <c r="I227" s="89"/>
      <c r="J227" s="112"/>
    </row>
    <row r="228" spans="3:10" x14ac:dyDescent="0.25">
      <c r="C228" s="30"/>
      <c r="D228" s="30"/>
      <c r="E228" s="67"/>
      <c r="F228" s="112"/>
      <c r="G228" s="89"/>
      <c r="H228" s="89"/>
      <c r="I228" s="89"/>
      <c r="J228" s="112"/>
    </row>
    <row r="229" spans="3:10" x14ac:dyDescent="0.25">
      <c r="C229" s="30"/>
      <c r="D229" s="30"/>
      <c r="E229" s="67"/>
      <c r="F229" s="112"/>
      <c r="G229" s="89"/>
      <c r="H229" s="89"/>
      <c r="I229" s="89"/>
      <c r="J229" s="112"/>
    </row>
    <row r="230" spans="3:10" x14ac:dyDescent="0.25">
      <c r="C230" s="30"/>
      <c r="D230" s="30"/>
      <c r="E230" s="67"/>
      <c r="F230" s="112"/>
      <c r="G230" s="89"/>
      <c r="H230" s="89"/>
      <c r="I230" s="89"/>
      <c r="J230" s="112"/>
    </row>
    <row r="231" spans="3:10" x14ac:dyDescent="0.25">
      <c r="C231" s="30"/>
      <c r="D231" s="30"/>
      <c r="E231" s="67"/>
      <c r="F231" s="112"/>
      <c r="G231" s="89"/>
      <c r="H231" s="89"/>
      <c r="I231" s="89"/>
      <c r="J231" s="112"/>
    </row>
    <row r="232" spans="3:10" x14ac:dyDescent="0.25">
      <c r="C232" s="30"/>
      <c r="D232" s="30"/>
      <c r="E232" s="67"/>
      <c r="F232" s="112"/>
      <c r="G232" s="89"/>
      <c r="H232" s="89"/>
      <c r="I232" s="89"/>
      <c r="J232" s="112"/>
    </row>
    <row r="233" spans="3:10" x14ac:dyDescent="0.25">
      <c r="C233" s="30"/>
      <c r="D233" s="30"/>
      <c r="E233" s="67"/>
      <c r="F233" s="112"/>
      <c r="G233" s="89"/>
      <c r="H233" s="89"/>
      <c r="I233" s="89"/>
      <c r="J233" s="112"/>
    </row>
    <row r="234" spans="3:10" x14ac:dyDescent="0.25">
      <c r="C234" s="30"/>
      <c r="D234" s="30"/>
      <c r="E234" s="67"/>
      <c r="F234" s="112"/>
      <c r="G234" s="89"/>
      <c r="H234" s="89"/>
      <c r="I234" s="89"/>
      <c r="J234" s="112"/>
    </row>
    <row r="235" spans="3:10" x14ac:dyDescent="0.25">
      <c r="C235" s="30"/>
      <c r="D235" s="30"/>
      <c r="E235" s="67"/>
      <c r="F235" s="112"/>
      <c r="G235" s="89"/>
      <c r="H235" s="89"/>
      <c r="I235" s="89"/>
      <c r="J235" s="112"/>
    </row>
    <row r="236" spans="3:10" x14ac:dyDescent="0.25">
      <c r="C236" s="30"/>
      <c r="D236" s="30"/>
      <c r="E236" s="67"/>
      <c r="F236" s="112"/>
      <c r="G236" s="89"/>
      <c r="H236" s="89"/>
      <c r="I236" s="89"/>
      <c r="J236" s="112"/>
    </row>
    <row r="237" spans="3:10" x14ac:dyDescent="0.25">
      <c r="C237" s="30"/>
      <c r="D237" s="30"/>
      <c r="E237" s="67"/>
      <c r="F237" s="112"/>
      <c r="G237" s="89"/>
      <c r="H237" s="89"/>
      <c r="I237" s="89"/>
      <c r="J237" s="112"/>
    </row>
    <row r="238" spans="3:10" x14ac:dyDescent="0.25">
      <c r="C238" s="30"/>
      <c r="D238" s="30"/>
      <c r="E238" s="67"/>
      <c r="F238" s="112"/>
      <c r="G238" s="89"/>
      <c r="H238" s="89"/>
      <c r="I238" s="89"/>
      <c r="J238" s="112"/>
    </row>
    <row r="239" spans="3:10" x14ac:dyDescent="0.25">
      <c r="C239" s="30"/>
      <c r="D239" s="30"/>
      <c r="E239" s="67"/>
      <c r="F239" s="112"/>
      <c r="G239" s="89"/>
      <c r="H239" s="89"/>
      <c r="I239" s="89"/>
      <c r="J239" s="112"/>
    </row>
    <row r="240" spans="3:10" x14ac:dyDescent="0.25">
      <c r="C240" s="30"/>
      <c r="D240" s="30"/>
      <c r="E240" s="67"/>
      <c r="F240" s="112"/>
      <c r="G240" s="89"/>
      <c r="H240" s="89"/>
      <c r="I240" s="89"/>
      <c r="J240" s="112"/>
    </row>
    <row r="241" spans="3:10" x14ac:dyDescent="0.25">
      <c r="C241" s="30"/>
      <c r="D241" s="30"/>
      <c r="E241" s="67"/>
      <c r="F241" s="112"/>
      <c r="G241" s="89"/>
      <c r="H241" s="89"/>
      <c r="I241" s="89"/>
      <c r="J241" s="112"/>
    </row>
    <row r="242" spans="3:10" x14ac:dyDescent="0.25">
      <c r="C242" s="30"/>
      <c r="D242" s="30"/>
      <c r="E242" s="67"/>
      <c r="F242" s="112"/>
      <c r="G242" s="89"/>
      <c r="H242" s="89"/>
      <c r="I242" s="89"/>
      <c r="J242" s="112"/>
    </row>
    <row r="243" spans="3:10" x14ac:dyDescent="0.25">
      <c r="C243" s="30"/>
      <c r="D243" s="30"/>
      <c r="E243" s="67"/>
      <c r="F243" s="112"/>
      <c r="G243" s="89"/>
      <c r="H243" s="89"/>
      <c r="I243" s="89"/>
      <c r="J243" s="112"/>
    </row>
    <row r="244" spans="3:10" x14ac:dyDescent="0.25">
      <c r="C244" s="30"/>
      <c r="D244" s="30"/>
      <c r="E244" s="67"/>
      <c r="F244" s="112"/>
      <c r="G244" s="89"/>
      <c r="H244" s="89"/>
      <c r="I244" s="89"/>
      <c r="J244" s="112"/>
    </row>
    <row r="245" spans="3:10" x14ac:dyDescent="0.25">
      <c r="C245" s="30"/>
      <c r="D245" s="30"/>
      <c r="E245" s="67"/>
      <c r="F245" s="112"/>
      <c r="G245" s="89"/>
      <c r="H245" s="89"/>
      <c r="I245" s="89"/>
      <c r="J245" s="112"/>
    </row>
    <row r="246" spans="3:10" x14ac:dyDescent="0.25">
      <c r="C246" s="30"/>
      <c r="D246" s="30"/>
      <c r="E246" s="67"/>
      <c r="F246" s="112"/>
      <c r="G246" s="89"/>
      <c r="H246" s="89"/>
      <c r="I246" s="89"/>
      <c r="J246" s="112"/>
    </row>
    <row r="247" spans="3:10" x14ac:dyDescent="0.25">
      <c r="C247" s="30"/>
      <c r="D247" s="30"/>
      <c r="E247" s="67"/>
      <c r="F247" s="112"/>
      <c r="G247" s="89"/>
      <c r="H247" s="89"/>
      <c r="I247" s="89"/>
      <c r="J247" s="112"/>
    </row>
    <row r="248" spans="3:10" x14ac:dyDescent="0.25">
      <c r="C248" s="30"/>
      <c r="D248" s="30"/>
      <c r="E248" s="67"/>
      <c r="F248" s="112"/>
      <c r="G248" s="89"/>
      <c r="H248" s="89"/>
      <c r="I248" s="89"/>
      <c r="J248" s="112"/>
    </row>
    <row r="249" spans="3:10" x14ac:dyDescent="0.25">
      <c r="C249" s="30"/>
      <c r="D249" s="30"/>
      <c r="E249" s="67"/>
      <c r="F249" s="112"/>
      <c r="G249" s="89"/>
      <c r="H249" s="89"/>
      <c r="I249" s="89"/>
      <c r="J249" s="112"/>
    </row>
    <row r="250" spans="3:10" x14ac:dyDescent="0.25">
      <c r="C250" s="30"/>
      <c r="D250" s="30"/>
      <c r="E250" s="67"/>
      <c r="F250" s="112"/>
      <c r="G250" s="89"/>
      <c r="H250" s="89"/>
      <c r="I250" s="89"/>
      <c r="J250" s="112"/>
    </row>
    <row r="251" spans="3:10" x14ac:dyDescent="0.25">
      <c r="C251" s="30"/>
      <c r="D251" s="30"/>
      <c r="E251" s="67"/>
      <c r="F251" s="112"/>
      <c r="G251" s="89"/>
      <c r="H251" s="89"/>
      <c r="I251" s="89"/>
      <c r="J251" s="112"/>
    </row>
    <row r="252" spans="3:10" x14ac:dyDescent="0.25">
      <c r="C252" s="30"/>
      <c r="D252" s="30"/>
      <c r="E252" s="67"/>
      <c r="F252" s="112"/>
      <c r="G252" s="89"/>
      <c r="H252" s="89"/>
      <c r="I252" s="89"/>
      <c r="J252" s="112"/>
    </row>
    <row r="253" spans="3:10" x14ac:dyDescent="0.25">
      <c r="C253" s="30"/>
      <c r="D253" s="30"/>
      <c r="E253" s="67"/>
      <c r="F253" s="112"/>
      <c r="G253" s="89"/>
      <c r="H253" s="89"/>
      <c r="I253" s="89"/>
      <c r="J253" s="112"/>
    </row>
    <row r="254" spans="3:10" x14ac:dyDescent="0.25">
      <c r="C254" s="30"/>
      <c r="D254" s="30"/>
      <c r="E254" s="67"/>
      <c r="F254" s="112"/>
      <c r="G254" s="89"/>
      <c r="H254" s="89"/>
      <c r="I254" s="89"/>
      <c r="J254" s="112"/>
    </row>
    <row r="255" spans="3:10" x14ac:dyDescent="0.25">
      <c r="C255" s="30"/>
      <c r="D255" s="30"/>
      <c r="E255" s="67"/>
      <c r="F255" s="112"/>
      <c r="G255" s="89"/>
      <c r="H255" s="89"/>
      <c r="I255" s="89"/>
      <c r="J255" s="112"/>
    </row>
    <row r="256" spans="3:10" x14ac:dyDescent="0.25">
      <c r="C256" s="30"/>
      <c r="D256" s="30"/>
      <c r="E256" s="67"/>
      <c r="F256" s="112"/>
      <c r="G256" s="89"/>
      <c r="H256" s="89"/>
      <c r="I256" s="89"/>
      <c r="J256" s="112"/>
    </row>
    <row r="257" spans="3:10" x14ac:dyDescent="0.25">
      <c r="C257" s="30"/>
      <c r="D257" s="30"/>
      <c r="E257" s="67"/>
      <c r="F257" s="112"/>
      <c r="G257" s="89"/>
      <c r="H257" s="89"/>
      <c r="I257" s="89"/>
      <c r="J257" s="112"/>
    </row>
    <row r="258" spans="3:10" x14ac:dyDescent="0.25">
      <c r="C258" s="30"/>
      <c r="D258" s="30"/>
      <c r="E258" s="67"/>
      <c r="F258" s="112"/>
      <c r="G258" s="89"/>
      <c r="H258" s="89"/>
      <c r="I258" s="89"/>
      <c r="J258" s="112"/>
    </row>
    <row r="259" spans="3:10" x14ac:dyDescent="0.25">
      <c r="C259" s="30"/>
      <c r="D259" s="30"/>
      <c r="E259" s="67"/>
      <c r="F259" s="112"/>
      <c r="G259" s="89"/>
      <c r="H259" s="89"/>
      <c r="I259" s="89"/>
      <c r="J259" s="112"/>
    </row>
    <row r="260" spans="3:10" x14ac:dyDescent="0.25">
      <c r="C260" s="30"/>
      <c r="D260" s="30"/>
      <c r="E260" s="67"/>
      <c r="F260" s="112"/>
      <c r="G260" s="89"/>
      <c r="H260" s="89"/>
      <c r="I260" s="89"/>
      <c r="J260" s="112"/>
    </row>
    <row r="261" spans="3:10" x14ac:dyDescent="0.25">
      <c r="C261" s="30"/>
      <c r="D261" s="30"/>
      <c r="E261" s="67"/>
      <c r="F261" s="112"/>
      <c r="G261" s="89"/>
      <c r="H261" s="89"/>
      <c r="I261" s="89"/>
      <c r="J261" s="112"/>
    </row>
    <row r="262" spans="3:10" x14ac:dyDescent="0.25">
      <c r="C262" s="30"/>
      <c r="D262" s="30"/>
      <c r="E262" s="67"/>
      <c r="F262" s="112"/>
      <c r="G262" s="89"/>
      <c r="H262" s="89"/>
      <c r="I262" s="89"/>
      <c r="J262" s="112"/>
    </row>
    <row r="263" spans="3:10" x14ac:dyDescent="0.25">
      <c r="C263" s="30"/>
      <c r="D263" s="30"/>
      <c r="E263" s="67"/>
      <c r="F263" s="112"/>
      <c r="G263" s="89"/>
      <c r="H263" s="89"/>
      <c r="I263" s="89"/>
      <c r="J263" s="112"/>
    </row>
    <row r="264" spans="3:10" x14ac:dyDescent="0.25">
      <c r="C264" s="30"/>
      <c r="D264" s="30"/>
      <c r="E264" s="67"/>
      <c r="F264" s="112"/>
      <c r="G264" s="89"/>
      <c r="H264" s="89"/>
      <c r="I264" s="89"/>
      <c r="J264" s="112"/>
    </row>
    <row r="265" spans="3:10" x14ac:dyDescent="0.25">
      <c r="C265" s="30"/>
      <c r="D265" s="30"/>
      <c r="E265" s="67"/>
      <c r="F265" s="112"/>
      <c r="G265" s="89"/>
      <c r="H265" s="89"/>
      <c r="I265" s="89"/>
      <c r="J265" s="112"/>
    </row>
    <row r="266" spans="3:10" x14ac:dyDescent="0.25">
      <c r="C266" s="30"/>
      <c r="D266" s="30"/>
      <c r="E266" s="67"/>
      <c r="F266" s="112"/>
      <c r="G266" s="89"/>
      <c r="H266" s="89"/>
      <c r="I266" s="89"/>
      <c r="J266" s="112"/>
    </row>
    <row r="267" spans="3:10" x14ac:dyDescent="0.25">
      <c r="C267" s="30"/>
      <c r="D267" s="30"/>
      <c r="E267" s="67"/>
      <c r="F267" s="112"/>
      <c r="G267" s="89"/>
      <c r="H267" s="89"/>
      <c r="I267" s="89"/>
      <c r="J267" s="112"/>
    </row>
    <row r="268" spans="3:10" x14ac:dyDescent="0.25">
      <c r="C268" s="30"/>
      <c r="D268" s="30"/>
      <c r="E268" s="67"/>
      <c r="F268" s="112"/>
      <c r="G268" s="89"/>
      <c r="H268" s="89"/>
      <c r="I268" s="89"/>
      <c r="J268" s="112"/>
    </row>
    <row r="269" spans="3:10" x14ac:dyDescent="0.25">
      <c r="C269" s="30"/>
      <c r="D269" s="30"/>
      <c r="E269" s="67"/>
      <c r="F269" s="112"/>
      <c r="G269" s="89"/>
      <c r="H269" s="89"/>
      <c r="I269" s="89"/>
      <c r="J269" s="112"/>
    </row>
    <row r="270" spans="3:10" x14ac:dyDescent="0.25">
      <c r="C270" s="30"/>
      <c r="D270" s="30"/>
      <c r="E270" s="67"/>
      <c r="F270" s="112"/>
      <c r="G270" s="89"/>
      <c r="H270" s="89"/>
      <c r="I270" s="89"/>
      <c r="J270" s="112"/>
    </row>
    <row r="271" spans="3:10" x14ac:dyDescent="0.25">
      <c r="C271" s="30"/>
      <c r="D271" s="30"/>
      <c r="E271" s="67"/>
      <c r="F271" s="112"/>
      <c r="G271" s="89"/>
      <c r="H271" s="89"/>
      <c r="I271" s="89"/>
      <c r="J271" s="112"/>
    </row>
    <row r="272" spans="3:10" x14ac:dyDescent="0.25">
      <c r="C272" s="30"/>
      <c r="D272" s="30"/>
      <c r="E272" s="67"/>
      <c r="F272" s="112"/>
      <c r="G272" s="89"/>
      <c r="H272" s="89"/>
      <c r="I272" s="89"/>
      <c r="J272" s="112"/>
    </row>
    <row r="273" spans="3:10" x14ac:dyDescent="0.25">
      <c r="C273" s="30"/>
      <c r="D273" s="30"/>
      <c r="E273" s="67"/>
      <c r="F273" s="112"/>
      <c r="G273" s="89"/>
      <c r="H273" s="89"/>
      <c r="I273" s="89"/>
      <c r="J273" s="112"/>
    </row>
    <row r="274" spans="3:10" x14ac:dyDescent="0.25">
      <c r="C274" s="30"/>
      <c r="D274" s="30"/>
      <c r="E274" s="67"/>
      <c r="F274" s="112"/>
      <c r="G274" s="89"/>
      <c r="H274" s="89"/>
      <c r="I274" s="89"/>
      <c r="J274" s="112"/>
    </row>
    <row r="275" spans="3:10" x14ac:dyDescent="0.25">
      <c r="C275" s="30"/>
      <c r="D275" s="30"/>
      <c r="E275" s="67"/>
      <c r="F275" s="112"/>
      <c r="G275" s="89"/>
      <c r="H275" s="89"/>
      <c r="I275" s="89"/>
      <c r="J275" s="112"/>
    </row>
    <row r="276" spans="3:10" x14ac:dyDescent="0.25">
      <c r="C276" s="30"/>
      <c r="D276" s="30"/>
      <c r="E276" s="67"/>
      <c r="F276" s="112"/>
      <c r="G276" s="89"/>
      <c r="H276" s="89"/>
      <c r="I276" s="89"/>
      <c r="J276" s="112"/>
    </row>
    <row r="277" spans="3:10" x14ac:dyDescent="0.25">
      <c r="C277" s="30"/>
      <c r="D277" s="30"/>
      <c r="E277" s="67"/>
      <c r="F277" s="112"/>
      <c r="G277" s="89"/>
      <c r="H277" s="89"/>
      <c r="I277" s="89"/>
      <c r="J277" s="112"/>
    </row>
    <row r="278" spans="3:10" x14ac:dyDescent="0.25">
      <c r="C278" s="30"/>
      <c r="D278" s="30"/>
      <c r="E278" s="67"/>
      <c r="F278" s="112"/>
      <c r="G278" s="89"/>
      <c r="H278" s="89"/>
      <c r="I278" s="89"/>
      <c r="J278" s="112"/>
    </row>
    <row r="279" spans="3:10" x14ac:dyDescent="0.25">
      <c r="C279" s="30"/>
      <c r="D279" s="30"/>
      <c r="E279" s="67"/>
      <c r="F279" s="112"/>
      <c r="G279" s="89"/>
      <c r="H279" s="89"/>
      <c r="I279" s="89"/>
      <c r="J279" s="112"/>
    </row>
    <row r="280" spans="3:10" x14ac:dyDescent="0.25">
      <c r="C280" s="30"/>
      <c r="D280" s="30"/>
      <c r="E280" s="67"/>
      <c r="F280" s="112"/>
      <c r="G280" s="89"/>
      <c r="H280" s="89"/>
      <c r="I280" s="89"/>
      <c r="J280" s="112"/>
    </row>
    <row r="281" spans="3:10" x14ac:dyDescent="0.25">
      <c r="C281" s="30"/>
      <c r="D281" s="30"/>
      <c r="E281" s="67"/>
      <c r="F281" s="112"/>
      <c r="G281" s="89"/>
      <c r="H281" s="89"/>
      <c r="I281" s="89"/>
      <c r="J281" s="112"/>
    </row>
    <row r="282" spans="3:10" x14ac:dyDescent="0.25">
      <c r="C282" s="30"/>
      <c r="D282" s="30"/>
      <c r="E282" s="67"/>
      <c r="F282" s="112"/>
      <c r="G282" s="89"/>
      <c r="H282" s="89"/>
      <c r="I282" s="89"/>
      <c r="J282" s="112"/>
    </row>
    <row r="283" spans="3:10" x14ac:dyDescent="0.25">
      <c r="C283" s="30"/>
      <c r="D283" s="30"/>
      <c r="E283" s="67"/>
      <c r="F283" s="112"/>
      <c r="G283" s="89"/>
      <c r="H283" s="89"/>
      <c r="I283" s="89"/>
      <c r="J283" s="112"/>
    </row>
    <row r="284" spans="3:10" x14ac:dyDescent="0.25">
      <c r="C284" s="30"/>
      <c r="D284" s="30"/>
      <c r="E284" s="67"/>
      <c r="F284" s="112"/>
      <c r="G284" s="89"/>
      <c r="H284" s="89"/>
      <c r="I284" s="89"/>
      <c r="J284" s="112"/>
    </row>
    <row r="285" spans="3:10" x14ac:dyDescent="0.25">
      <c r="C285" s="30"/>
      <c r="D285" s="30"/>
      <c r="E285" s="67"/>
      <c r="F285" s="112"/>
      <c r="G285" s="89"/>
      <c r="H285" s="89"/>
      <c r="I285" s="89"/>
      <c r="J285" s="112"/>
    </row>
    <row r="286" spans="3:10" x14ac:dyDescent="0.25">
      <c r="C286" s="30"/>
      <c r="D286" s="30"/>
      <c r="E286" s="67"/>
      <c r="F286" s="112"/>
      <c r="G286" s="89"/>
      <c r="H286" s="89"/>
      <c r="I286" s="89"/>
      <c r="J286" s="112"/>
    </row>
    <row r="287" spans="3:10" x14ac:dyDescent="0.25">
      <c r="C287" s="30"/>
      <c r="D287" s="30"/>
      <c r="E287" s="67"/>
      <c r="F287" s="112"/>
      <c r="G287" s="89"/>
      <c r="H287" s="89"/>
      <c r="I287" s="89"/>
      <c r="J287" s="112"/>
    </row>
    <row r="288" spans="3:10" x14ac:dyDescent="0.25">
      <c r="C288" s="30"/>
      <c r="D288" s="30"/>
      <c r="E288" s="67"/>
      <c r="F288" s="112"/>
      <c r="G288" s="89"/>
      <c r="H288" s="89"/>
      <c r="I288" s="89"/>
      <c r="J288" s="112"/>
    </row>
    <row r="289" spans="3:10" x14ac:dyDescent="0.25">
      <c r="C289" s="30"/>
      <c r="D289" s="30"/>
      <c r="E289" s="67"/>
      <c r="F289" s="112"/>
      <c r="G289" s="89"/>
      <c r="H289" s="89"/>
      <c r="I289" s="89"/>
      <c r="J289" s="112"/>
    </row>
    <row r="290" spans="3:10" x14ac:dyDescent="0.25">
      <c r="C290" s="30"/>
      <c r="D290" s="30"/>
      <c r="E290" s="67"/>
      <c r="F290" s="112"/>
      <c r="G290" s="89"/>
      <c r="H290" s="89"/>
      <c r="I290" s="89"/>
      <c r="J290" s="112"/>
    </row>
    <row r="291" spans="3:10" x14ac:dyDescent="0.25">
      <c r="C291" s="30"/>
      <c r="D291" s="30"/>
      <c r="E291" s="67"/>
      <c r="F291" s="112"/>
      <c r="G291" s="89"/>
      <c r="H291" s="89"/>
      <c r="I291" s="89"/>
      <c r="J291" s="112"/>
    </row>
    <row r="292" spans="3:10" x14ac:dyDescent="0.25">
      <c r="C292" s="30"/>
      <c r="D292" s="30"/>
      <c r="E292" s="67"/>
      <c r="F292" s="112"/>
      <c r="G292" s="89"/>
      <c r="H292" s="89"/>
      <c r="I292" s="89"/>
      <c r="J292" s="112"/>
    </row>
    <row r="293" spans="3:10" x14ac:dyDescent="0.25">
      <c r="C293" s="30"/>
      <c r="D293" s="30"/>
      <c r="E293" s="67"/>
      <c r="F293" s="112"/>
      <c r="G293" s="89"/>
      <c r="H293" s="89"/>
      <c r="I293" s="89"/>
      <c r="J293" s="112"/>
    </row>
    <row r="294" spans="3:10" x14ac:dyDescent="0.25">
      <c r="C294" s="30"/>
      <c r="D294" s="30"/>
      <c r="E294" s="67"/>
      <c r="F294" s="112"/>
      <c r="G294" s="89"/>
      <c r="H294" s="89"/>
      <c r="I294" s="89"/>
      <c r="J294" s="112"/>
    </row>
    <row r="295" spans="3:10" x14ac:dyDescent="0.25">
      <c r="C295" s="30"/>
      <c r="D295" s="30"/>
      <c r="E295" s="67"/>
      <c r="F295" s="112"/>
      <c r="G295" s="89"/>
      <c r="H295" s="89"/>
      <c r="I295" s="89"/>
      <c r="J295" s="112"/>
    </row>
    <row r="296" spans="3:10" x14ac:dyDescent="0.25">
      <c r="C296" s="30"/>
      <c r="D296" s="30"/>
      <c r="E296" s="67"/>
      <c r="F296" s="112"/>
      <c r="G296" s="89"/>
      <c r="H296" s="89"/>
      <c r="I296" s="89"/>
      <c r="J296" s="112"/>
    </row>
    <row r="297" spans="3:10" x14ac:dyDescent="0.25">
      <c r="C297" s="30"/>
      <c r="D297" s="30"/>
      <c r="E297" s="67"/>
      <c r="F297" s="112"/>
      <c r="G297" s="89"/>
      <c r="H297" s="89"/>
      <c r="I297" s="89"/>
      <c r="J297" s="112"/>
    </row>
    <row r="298" spans="3:10" x14ac:dyDescent="0.25">
      <c r="C298" s="30"/>
      <c r="D298" s="30"/>
      <c r="E298" s="67"/>
      <c r="F298" s="112"/>
      <c r="G298" s="89"/>
      <c r="H298" s="89"/>
      <c r="I298" s="89"/>
      <c r="J298" s="112"/>
    </row>
    <row r="299" spans="3:10" x14ac:dyDescent="0.25">
      <c r="C299" s="30"/>
      <c r="D299" s="30"/>
      <c r="E299" s="67"/>
      <c r="F299" s="112"/>
      <c r="G299" s="89"/>
      <c r="H299" s="89"/>
      <c r="I299" s="89"/>
      <c r="J299" s="112"/>
    </row>
    <row r="300" spans="3:10" x14ac:dyDescent="0.25">
      <c r="C300" s="30"/>
      <c r="D300" s="30"/>
      <c r="E300" s="67"/>
      <c r="F300" s="112"/>
      <c r="G300" s="89"/>
      <c r="H300" s="89"/>
      <c r="I300" s="89"/>
      <c r="J300" s="112"/>
    </row>
    <row r="301" spans="3:10" x14ac:dyDescent="0.25">
      <c r="C301" s="30"/>
      <c r="D301" s="30"/>
      <c r="E301" s="67"/>
      <c r="F301" s="112"/>
      <c r="G301" s="89"/>
      <c r="H301" s="89"/>
      <c r="I301" s="89"/>
      <c r="J301" s="112"/>
    </row>
    <row r="302" spans="3:10" x14ac:dyDescent="0.25">
      <c r="C302" s="30"/>
      <c r="D302" s="30"/>
      <c r="E302" s="67"/>
      <c r="F302" s="112"/>
      <c r="G302" s="89"/>
      <c r="H302" s="89"/>
      <c r="I302" s="89"/>
      <c r="J302" s="112"/>
    </row>
    <row r="303" spans="3:10" x14ac:dyDescent="0.25">
      <c r="C303" s="30"/>
      <c r="D303" s="30"/>
      <c r="E303" s="67"/>
      <c r="F303" s="112"/>
      <c r="G303" s="89"/>
      <c r="H303" s="89"/>
      <c r="I303" s="89"/>
      <c r="J303" s="112"/>
    </row>
    <row r="304" spans="3:10" x14ac:dyDescent="0.25">
      <c r="C304" s="30"/>
      <c r="D304" s="30"/>
      <c r="E304" s="67"/>
      <c r="F304" s="112"/>
      <c r="G304" s="89"/>
      <c r="H304" s="89"/>
      <c r="I304" s="89"/>
      <c r="J304" s="112"/>
    </row>
    <row r="305" spans="3:10" x14ac:dyDescent="0.25">
      <c r="C305" s="30"/>
      <c r="D305" s="30"/>
      <c r="E305" s="67"/>
      <c r="F305" s="112"/>
      <c r="G305" s="89"/>
      <c r="H305" s="89"/>
      <c r="I305" s="89"/>
      <c r="J305" s="112"/>
    </row>
    <row r="306" spans="3:10" x14ac:dyDescent="0.25">
      <c r="C306" s="30"/>
      <c r="D306" s="30"/>
      <c r="E306" s="67"/>
      <c r="F306" s="112"/>
      <c r="G306" s="89"/>
      <c r="H306" s="89"/>
      <c r="I306" s="89"/>
      <c r="J306" s="112"/>
    </row>
    <row r="307" spans="3:10" x14ac:dyDescent="0.25">
      <c r="C307" s="30"/>
      <c r="D307" s="30"/>
      <c r="E307" s="67"/>
      <c r="F307" s="112"/>
      <c r="G307" s="89"/>
      <c r="H307" s="89"/>
      <c r="I307" s="89"/>
      <c r="J307" s="112"/>
    </row>
    <row r="308" spans="3:10" x14ac:dyDescent="0.25">
      <c r="C308" s="30"/>
      <c r="D308" s="30"/>
      <c r="E308" s="67"/>
      <c r="F308" s="112"/>
      <c r="G308" s="89"/>
      <c r="H308" s="89"/>
      <c r="I308" s="89"/>
      <c r="J308" s="112"/>
    </row>
    <row r="309" spans="3:10" x14ac:dyDescent="0.25">
      <c r="C309" s="30"/>
      <c r="D309" s="30"/>
      <c r="E309" s="67"/>
      <c r="F309" s="112"/>
      <c r="G309" s="89"/>
      <c r="H309" s="89"/>
      <c r="I309" s="89"/>
      <c r="J309" s="112"/>
    </row>
    <row r="310" spans="3:10" x14ac:dyDescent="0.25">
      <c r="C310" s="30"/>
      <c r="D310" s="30"/>
      <c r="E310" s="67"/>
      <c r="F310" s="112"/>
      <c r="G310" s="89"/>
      <c r="H310" s="89"/>
      <c r="I310" s="89"/>
      <c r="J310" s="112"/>
    </row>
    <row r="311" spans="3:10" x14ac:dyDescent="0.25">
      <c r="C311" s="30"/>
      <c r="D311" s="30"/>
      <c r="E311" s="67"/>
      <c r="F311" s="112"/>
      <c r="G311" s="89"/>
      <c r="H311" s="89"/>
      <c r="I311" s="89"/>
      <c r="J311" s="112"/>
    </row>
    <row r="312" spans="3:10" x14ac:dyDescent="0.25">
      <c r="C312" s="30"/>
      <c r="D312" s="30"/>
      <c r="E312" s="67"/>
      <c r="F312" s="112"/>
      <c r="G312" s="89"/>
      <c r="H312" s="89"/>
      <c r="I312" s="89"/>
      <c r="J312" s="112"/>
    </row>
    <row r="313" spans="3:10" x14ac:dyDescent="0.25">
      <c r="C313" s="30"/>
      <c r="D313" s="30"/>
      <c r="E313" s="67"/>
      <c r="F313" s="112"/>
      <c r="G313" s="89"/>
      <c r="H313" s="89"/>
      <c r="I313" s="89"/>
      <c r="J313" s="112"/>
    </row>
    <row r="314" spans="3:10" x14ac:dyDescent="0.25">
      <c r="C314" s="30"/>
      <c r="D314" s="30"/>
      <c r="E314" s="67"/>
      <c r="F314" s="112"/>
      <c r="G314" s="89"/>
      <c r="H314" s="89"/>
      <c r="I314" s="89"/>
      <c r="J314" s="112"/>
    </row>
    <row r="315" spans="3:10" x14ac:dyDescent="0.25">
      <c r="C315" s="30"/>
      <c r="D315" s="30"/>
      <c r="E315" s="67"/>
      <c r="F315" s="112"/>
      <c r="G315" s="89"/>
      <c r="H315" s="89"/>
      <c r="I315" s="89"/>
      <c r="J315" s="112"/>
    </row>
    <row r="316" spans="3:10" x14ac:dyDescent="0.25">
      <c r="C316" s="30"/>
      <c r="D316" s="30"/>
      <c r="E316" s="67"/>
      <c r="F316" s="112"/>
      <c r="G316" s="89"/>
      <c r="H316" s="89"/>
      <c r="I316" s="89"/>
      <c r="J316" s="112"/>
    </row>
    <row r="317" spans="3:10" x14ac:dyDescent="0.25">
      <c r="C317" s="30"/>
      <c r="D317" s="30"/>
      <c r="E317" s="67"/>
      <c r="F317" s="112"/>
      <c r="G317" s="89"/>
      <c r="H317" s="89"/>
      <c r="I317" s="89"/>
      <c r="J317" s="112"/>
    </row>
    <row r="318" spans="3:10" x14ac:dyDescent="0.25">
      <c r="C318" s="30"/>
      <c r="D318" s="30"/>
      <c r="E318" s="67"/>
      <c r="F318" s="112"/>
      <c r="G318" s="89"/>
      <c r="H318" s="89"/>
      <c r="I318" s="89"/>
      <c r="J318" s="112"/>
    </row>
    <row r="319" spans="3:10" x14ac:dyDescent="0.25">
      <c r="C319" s="30"/>
      <c r="D319" s="30"/>
      <c r="E319" s="67"/>
      <c r="F319" s="112"/>
      <c r="G319" s="89"/>
      <c r="H319" s="89"/>
      <c r="I319" s="89"/>
      <c r="J319" s="112"/>
    </row>
    <row r="320" spans="3:10" x14ac:dyDescent="0.25">
      <c r="C320" s="30"/>
      <c r="D320" s="30"/>
      <c r="E320" s="67"/>
      <c r="F320" s="112"/>
      <c r="G320" s="89"/>
      <c r="H320" s="89"/>
      <c r="I320" s="89"/>
      <c r="J320" s="112"/>
    </row>
    <row r="321" spans="3:10" x14ac:dyDescent="0.25">
      <c r="C321" s="30"/>
      <c r="D321" s="30"/>
      <c r="E321" s="67"/>
      <c r="F321" s="112"/>
      <c r="G321" s="89"/>
      <c r="H321" s="89"/>
      <c r="I321" s="89"/>
      <c r="J321" s="112"/>
    </row>
    <row r="322" spans="3:10" x14ac:dyDescent="0.25">
      <c r="C322" s="30"/>
      <c r="D322" s="30"/>
      <c r="E322" s="67"/>
      <c r="F322" s="112"/>
      <c r="G322" s="89"/>
      <c r="H322" s="89"/>
      <c r="I322" s="89"/>
      <c r="J322" s="112"/>
    </row>
    <row r="323" spans="3:10" x14ac:dyDescent="0.25">
      <c r="C323" s="30"/>
      <c r="D323" s="30"/>
      <c r="E323" s="67"/>
      <c r="F323" s="112"/>
      <c r="G323" s="89"/>
      <c r="H323" s="89"/>
      <c r="I323" s="89"/>
      <c r="J323" s="112"/>
    </row>
    <row r="324" spans="3:10" x14ac:dyDescent="0.25">
      <c r="C324" s="30"/>
      <c r="D324" s="30"/>
      <c r="E324" s="67"/>
      <c r="F324" s="112"/>
      <c r="G324" s="89"/>
      <c r="H324" s="89"/>
      <c r="I324" s="89"/>
      <c r="J324" s="112"/>
    </row>
    <row r="325" spans="3:10" x14ac:dyDescent="0.25">
      <c r="C325" s="30"/>
      <c r="D325" s="30"/>
      <c r="E325" s="67"/>
      <c r="F325" s="112"/>
      <c r="G325" s="89"/>
      <c r="H325" s="89"/>
      <c r="I325" s="89"/>
      <c r="J325" s="112"/>
    </row>
    <row r="326" spans="3:10" x14ac:dyDescent="0.25">
      <c r="C326" s="30"/>
      <c r="D326" s="30"/>
      <c r="E326" s="67"/>
      <c r="F326" s="112"/>
      <c r="G326" s="89"/>
      <c r="H326" s="89"/>
      <c r="I326" s="89"/>
      <c r="J326" s="112"/>
    </row>
    <row r="327" spans="3:10" x14ac:dyDescent="0.25">
      <c r="C327" s="30"/>
      <c r="D327" s="30"/>
      <c r="E327" s="67"/>
      <c r="F327" s="112"/>
      <c r="G327" s="89"/>
      <c r="H327" s="89"/>
      <c r="I327" s="89"/>
      <c r="J327" s="112"/>
    </row>
    <row r="328" spans="3:10" x14ac:dyDescent="0.25">
      <c r="C328" s="30"/>
      <c r="D328" s="30"/>
      <c r="E328" s="67"/>
      <c r="F328" s="112"/>
      <c r="G328" s="89"/>
      <c r="H328" s="89"/>
      <c r="I328" s="89"/>
      <c r="J328" s="112"/>
    </row>
    <row r="329" spans="3:10" x14ac:dyDescent="0.25">
      <c r="C329" s="30"/>
      <c r="D329" s="30"/>
      <c r="E329" s="67"/>
      <c r="F329" s="112"/>
      <c r="G329" s="89"/>
      <c r="H329" s="89"/>
      <c r="I329" s="89"/>
      <c r="J329" s="112"/>
    </row>
    <row r="330" spans="3:10" x14ac:dyDescent="0.25">
      <c r="C330" s="30"/>
      <c r="D330" s="30"/>
      <c r="E330" s="67"/>
      <c r="F330" s="112"/>
      <c r="G330" s="89"/>
      <c r="H330" s="89"/>
      <c r="I330" s="89"/>
      <c r="J330" s="112"/>
    </row>
    <row r="331" spans="3:10" x14ac:dyDescent="0.25">
      <c r="C331" s="30"/>
      <c r="D331" s="30"/>
      <c r="E331" s="67"/>
      <c r="F331" s="112"/>
      <c r="G331" s="89"/>
      <c r="H331" s="89"/>
      <c r="I331" s="89"/>
      <c r="J331" s="112"/>
    </row>
    <row r="332" spans="3:10" x14ac:dyDescent="0.25">
      <c r="C332" s="30"/>
      <c r="D332" s="30"/>
      <c r="E332" s="67"/>
      <c r="F332" s="112"/>
      <c r="G332" s="89"/>
      <c r="H332" s="89"/>
      <c r="I332" s="89"/>
      <c r="J332" s="112"/>
    </row>
    <row r="333" spans="3:10" x14ac:dyDescent="0.25">
      <c r="C333" s="30"/>
      <c r="D333" s="30"/>
      <c r="E333" s="67"/>
      <c r="F333" s="112"/>
      <c r="G333" s="89"/>
      <c r="H333" s="89"/>
      <c r="I333" s="89"/>
      <c r="J333" s="112"/>
    </row>
    <row r="334" spans="3:10" x14ac:dyDescent="0.25">
      <c r="C334" s="30"/>
      <c r="D334" s="30"/>
      <c r="E334" s="67"/>
      <c r="F334" s="112"/>
      <c r="G334" s="89"/>
      <c r="H334" s="89"/>
      <c r="I334" s="89"/>
      <c r="J334" s="112"/>
    </row>
    <row r="335" spans="3:10" x14ac:dyDescent="0.25">
      <c r="C335" s="30"/>
      <c r="D335" s="30"/>
      <c r="E335" s="67"/>
      <c r="F335" s="112"/>
      <c r="G335" s="89"/>
      <c r="H335" s="89"/>
      <c r="I335" s="89"/>
      <c r="J335" s="112"/>
    </row>
    <row r="336" spans="3:10" x14ac:dyDescent="0.25">
      <c r="C336" s="30"/>
      <c r="D336" s="30"/>
      <c r="E336" s="67"/>
      <c r="F336" s="112"/>
      <c r="G336" s="89"/>
      <c r="H336" s="89"/>
      <c r="I336" s="89"/>
      <c r="J336" s="112"/>
    </row>
    <row r="337" spans="3:10" x14ac:dyDescent="0.25">
      <c r="C337" s="30"/>
      <c r="D337" s="30"/>
      <c r="E337" s="67"/>
      <c r="F337" s="112"/>
      <c r="G337" s="89"/>
      <c r="H337" s="89"/>
      <c r="I337" s="89"/>
      <c r="J337" s="112"/>
    </row>
    <row r="338" spans="3:10" x14ac:dyDescent="0.25">
      <c r="C338" s="30"/>
      <c r="D338" s="30"/>
      <c r="E338" s="67"/>
      <c r="F338" s="112"/>
      <c r="G338" s="89"/>
      <c r="H338" s="89"/>
      <c r="I338" s="89"/>
      <c r="J338" s="112"/>
    </row>
    <row r="339" spans="3:10" x14ac:dyDescent="0.25">
      <c r="C339" s="30"/>
      <c r="D339" s="30"/>
      <c r="E339" s="67"/>
      <c r="F339" s="112"/>
      <c r="G339" s="89"/>
      <c r="H339" s="89"/>
      <c r="I339" s="89"/>
      <c r="J339" s="112"/>
    </row>
    <row r="340" spans="3:10" x14ac:dyDescent="0.25">
      <c r="C340" s="30"/>
      <c r="D340" s="30"/>
      <c r="E340" s="67"/>
      <c r="F340" s="112"/>
      <c r="G340" s="89"/>
      <c r="H340" s="89"/>
      <c r="I340" s="89"/>
      <c r="J340" s="112"/>
    </row>
    <row r="341" spans="3:10" x14ac:dyDescent="0.25">
      <c r="C341" s="30"/>
      <c r="D341" s="30"/>
      <c r="E341" s="67"/>
      <c r="F341" s="112"/>
      <c r="G341" s="89"/>
      <c r="H341" s="89"/>
      <c r="I341" s="89"/>
      <c r="J341" s="112"/>
    </row>
    <row r="342" spans="3:10" x14ac:dyDescent="0.25">
      <c r="C342" s="30"/>
      <c r="D342" s="30"/>
      <c r="E342" s="67"/>
      <c r="F342" s="112"/>
      <c r="G342" s="89"/>
      <c r="H342" s="89"/>
      <c r="I342" s="89"/>
      <c r="J342" s="112"/>
    </row>
    <row r="343" spans="3:10" x14ac:dyDescent="0.25">
      <c r="C343" s="30"/>
      <c r="D343" s="30"/>
      <c r="E343" s="67"/>
      <c r="F343" s="112"/>
      <c r="G343" s="89"/>
      <c r="H343" s="89"/>
      <c r="I343" s="89"/>
      <c r="J343" s="112"/>
    </row>
    <row r="344" spans="3:10" x14ac:dyDescent="0.25">
      <c r="C344" s="30"/>
      <c r="D344" s="30"/>
      <c r="E344" s="67"/>
      <c r="F344" s="112"/>
      <c r="G344" s="89"/>
      <c r="H344" s="89"/>
      <c r="I344" s="89"/>
      <c r="J344" s="112"/>
    </row>
    <row r="345" spans="3:10" x14ac:dyDescent="0.25">
      <c r="C345" s="30"/>
      <c r="D345" s="30"/>
      <c r="E345" s="67"/>
      <c r="F345" s="112"/>
      <c r="G345" s="89"/>
      <c r="H345" s="89"/>
      <c r="I345" s="89"/>
      <c r="J345" s="112"/>
    </row>
    <row r="346" spans="3:10" x14ac:dyDescent="0.25">
      <c r="C346" s="30"/>
      <c r="D346" s="30"/>
      <c r="E346" s="67"/>
      <c r="F346" s="112"/>
      <c r="G346" s="89"/>
      <c r="H346" s="89"/>
      <c r="I346" s="89"/>
      <c r="J346" s="112"/>
    </row>
    <row r="347" spans="3:10" x14ac:dyDescent="0.25">
      <c r="C347" s="30"/>
      <c r="D347" s="30"/>
      <c r="E347" s="67"/>
      <c r="F347" s="112"/>
      <c r="G347" s="89"/>
      <c r="H347" s="89"/>
      <c r="I347" s="89"/>
      <c r="J347" s="112"/>
    </row>
    <row r="348" spans="3:10" x14ac:dyDescent="0.25">
      <c r="C348" s="30"/>
      <c r="D348" s="30"/>
      <c r="E348" s="67"/>
      <c r="F348" s="112"/>
      <c r="G348" s="89"/>
      <c r="H348" s="89"/>
      <c r="I348" s="89"/>
      <c r="J348" s="112"/>
    </row>
    <row r="349" spans="3:10" x14ac:dyDescent="0.25">
      <c r="C349" s="30"/>
      <c r="D349" s="30"/>
      <c r="E349" s="67"/>
      <c r="F349" s="112"/>
      <c r="G349" s="89"/>
      <c r="H349" s="89"/>
      <c r="I349" s="89"/>
      <c r="J349" s="112"/>
    </row>
    <row r="350" spans="3:10" x14ac:dyDescent="0.25">
      <c r="C350" s="30"/>
      <c r="D350" s="30"/>
      <c r="E350" s="67"/>
      <c r="F350" s="112"/>
      <c r="G350" s="89"/>
      <c r="H350" s="89"/>
      <c r="I350" s="89"/>
      <c r="J350" s="112"/>
    </row>
    <row r="351" spans="3:10" x14ac:dyDescent="0.25">
      <c r="C351" s="30"/>
      <c r="D351" s="30"/>
      <c r="E351" s="67"/>
      <c r="F351" s="112"/>
      <c r="G351" s="89"/>
      <c r="H351" s="89"/>
      <c r="I351" s="89"/>
      <c r="J351" s="112"/>
    </row>
    <row r="352" spans="3:10" x14ac:dyDescent="0.25">
      <c r="C352" s="30"/>
      <c r="D352" s="30"/>
      <c r="E352" s="67"/>
      <c r="F352" s="112"/>
      <c r="G352" s="89"/>
      <c r="H352" s="89"/>
      <c r="I352" s="89"/>
      <c r="J352" s="112"/>
    </row>
    <row r="353" spans="3:10" x14ac:dyDescent="0.25">
      <c r="C353" s="30"/>
      <c r="D353" s="30"/>
      <c r="E353" s="67"/>
      <c r="F353" s="112"/>
      <c r="G353" s="89"/>
      <c r="H353" s="89"/>
      <c r="I353" s="89"/>
      <c r="J353" s="112"/>
    </row>
    <row r="354" spans="3:10" x14ac:dyDescent="0.25">
      <c r="C354" s="30"/>
      <c r="D354" s="30"/>
      <c r="E354" s="67"/>
      <c r="F354" s="112"/>
      <c r="G354" s="89"/>
      <c r="H354" s="89"/>
      <c r="I354" s="89"/>
      <c r="J354" s="112"/>
    </row>
    <row r="355" spans="3:10" x14ac:dyDescent="0.25">
      <c r="C355" s="30"/>
      <c r="D355" s="30"/>
      <c r="E355" s="67"/>
      <c r="F355" s="112"/>
      <c r="G355" s="89"/>
      <c r="H355" s="89"/>
      <c r="I355" s="89"/>
      <c r="J355" s="112"/>
    </row>
    <row r="356" spans="3:10" x14ac:dyDescent="0.25">
      <c r="C356" s="30"/>
      <c r="D356" s="30"/>
      <c r="E356" s="67"/>
      <c r="F356" s="112"/>
      <c r="G356" s="89"/>
      <c r="H356" s="89"/>
      <c r="I356" s="89"/>
      <c r="J356" s="112"/>
    </row>
    <row r="357" spans="3:10" x14ac:dyDescent="0.25">
      <c r="C357" s="30"/>
      <c r="D357" s="30"/>
      <c r="E357" s="67"/>
      <c r="F357" s="112"/>
      <c r="G357" s="89"/>
      <c r="H357" s="89"/>
      <c r="I357" s="89"/>
      <c r="J357" s="112"/>
    </row>
    <row r="358" spans="3:10" x14ac:dyDescent="0.25">
      <c r="C358" s="30"/>
      <c r="D358" s="30"/>
      <c r="E358" s="67"/>
      <c r="F358" s="112"/>
      <c r="G358" s="89"/>
      <c r="H358" s="89"/>
      <c r="I358" s="89"/>
      <c r="J358" s="112"/>
    </row>
    <row r="359" spans="3:10" x14ac:dyDescent="0.25">
      <c r="C359" s="30"/>
      <c r="D359" s="30"/>
      <c r="E359" s="67"/>
      <c r="F359" s="112"/>
      <c r="G359" s="89"/>
      <c r="H359" s="89"/>
      <c r="I359" s="89"/>
      <c r="J359" s="112"/>
    </row>
    <row r="360" spans="3:10" x14ac:dyDescent="0.25">
      <c r="C360" s="30"/>
      <c r="D360" s="30"/>
      <c r="E360" s="67"/>
      <c r="F360" s="112"/>
      <c r="G360" s="89"/>
      <c r="H360" s="89"/>
      <c r="I360" s="89"/>
      <c r="J360" s="112"/>
    </row>
    <row r="361" spans="3:10" x14ac:dyDescent="0.25">
      <c r="C361" s="30"/>
      <c r="D361" s="30"/>
      <c r="E361" s="67"/>
      <c r="F361" s="112"/>
      <c r="G361" s="89"/>
      <c r="H361" s="89"/>
      <c r="I361" s="89"/>
      <c r="J361" s="112"/>
    </row>
    <row r="362" spans="3:10" x14ac:dyDescent="0.25">
      <c r="C362" s="30"/>
      <c r="D362" s="30"/>
      <c r="E362" s="67"/>
      <c r="F362" s="112"/>
      <c r="G362" s="89"/>
      <c r="H362" s="89"/>
      <c r="I362" s="89"/>
      <c r="J362" s="112"/>
    </row>
    <row r="363" spans="3:10" x14ac:dyDescent="0.25">
      <c r="C363" s="30"/>
      <c r="D363" s="30"/>
      <c r="E363" s="67"/>
      <c r="F363" s="112"/>
      <c r="G363" s="89"/>
      <c r="H363" s="89"/>
      <c r="I363" s="89"/>
      <c r="J363" s="112"/>
    </row>
    <row r="364" spans="3:10" x14ac:dyDescent="0.25">
      <c r="C364" s="30"/>
      <c r="D364" s="30"/>
      <c r="E364" s="67"/>
      <c r="F364" s="112"/>
      <c r="G364" s="89"/>
      <c r="H364" s="89"/>
      <c r="I364" s="89"/>
      <c r="J364" s="112"/>
    </row>
    <row r="365" spans="3:10" x14ac:dyDescent="0.25">
      <c r="C365" s="30"/>
      <c r="D365" s="30"/>
      <c r="E365" s="67"/>
      <c r="F365" s="112"/>
      <c r="G365" s="89"/>
      <c r="H365" s="89"/>
      <c r="I365" s="89"/>
      <c r="J365" s="112"/>
    </row>
    <row r="366" spans="3:10" x14ac:dyDescent="0.25">
      <c r="C366" s="30"/>
      <c r="D366" s="30"/>
      <c r="E366" s="67"/>
      <c r="F366" s="112"/>
      <c r="G366" s="89"/>
      <c r="H366" s="89"/>
      <c r="I366" s="89"/>
      <c r="J366" s="112"/>
    </row>
    <row r="367" spans="3:10" x14ac:dyDescent="0.25">
      <c r="C367" s="30"/>
      <c r="D367" s="30"/>
      <c r="E367" s="67"/>
      <c r="F367" s="112"/>
      <c r="G367" s="89"/>
      <c r="H367" s="89"/>
      <c r="I367" s="89"/>
      <c r="J367" s="112"/>
    </row>
    <row r="368" spans="3:10" x14ac:dyDescent="0.25">
      <c r="C368" s="30"/>
      <c r="D368" s="30"/>
      <c r="E368" s="67"/>
      <c r="F368" s="112"/>
      <c r="G368" s="89"/>
      <c r="H368" s="89"/>
      <c r="I368" s="89"/>
      <c r="J368" s="112"/>
    </row>
    <row r="369" spans="3:10" x14ac:dyDescent="0.25">
      <c r="C369" s="30"/>
      <c r="D369" s="30"/>
      <c r="E369" s="67"/>
      <c r="F369" s="112"/>
      <c r="G369" s="89"/>
      <c r="H369" s="89"/>
      <c r="I369" s="89"/>
      <c r="J369" s="112"/>
    </row>
    <row r="370" spans="3:10" x14ac:dyDescent="0.25">
      <c r="C370" s="30"/>
      <c r="D370" s="30"/>
      <c r="E370" s="67"/>
      <c r="F370" s="112"/>
      <c r="G370" s="89"/>
      <c r="H370" s="89"/>
      <c r="I370" s="89"/>
      <c r="J370" s="112"/>
    </row>
    <row r="371" spans="3:10" x14ac:dyDescent="0.25">
      <c r="C371" s="30"/>
      <c r="D371" s="30"/>
      <c r="E371" s="67"/>
      <c r="F371" s="112"/>
      <c r="G371" s="89"/>
      <c r="H371" s="89"/>
      <c r="I371" s="89"/>
      <c r="J371" s="112"/>
    </row>
    <row r="372" spans="3:10" x14ac:dyDescent="0.25">
      <c r="C372" s="30"/>
      <c r="D372" s="30"/>
      <c r="E372" s="67"/>
      <c r="F372" s="112"/>
      <c r="G372" s="89"/>
      <c r="H372" s="89"/>
      <c r="I372" s="89"/>
      <c r="J372" s="112"/>
    </row>
    <row r="373" spans="3:10" x14ac:dyDescent="0.25">
      <c r="C373" s="30"/>
      <c r="D373" s="30"/>
      <c r="E373" s="67"/>
      <c r="F373" s="112"/>
      <c r="G373" s="89"/>
      <c r="H373" s="89"/>
      <c r="I373" s="89"/>
      <c r="J373" s="112"/>
    </row>
    <row r="374" spans="3:10" x14ac:dyDescent="0.25">
      <c r="C374" s="30"/>
      <c r="D374" s="30"/>
      <c r="E374" s="67"/>
      <c r="F374" s="112"/>
      <c r="G374" s="89"/>
      <c r="H374" s="89"/>
      <c r="I374" s="89"/>
      <c r="J374" s="112"/>
    </row>
    <row r="375" spans="3:10" x14ac:dyDescent="0.25">
      <c r="C375" s="30"/>
      <c r="D375" s="30"/>
      <c r="E375" s="67"/>
      <c r="F375" s="112"/>
      <c r="G375" s="89"/>
      <c r="H375" s="89"/>
      <c r="I375" s="89"/>
      <c r="J375" s="112"/>
    </row>
    <row r="376" spans="3:10" x14ac:dyDescent="0.25">
      <c r="C376" s="30"/>
      <c r="D376" s="30"/>
      <c r="E376" s="67"/>
      <c r="F376" s="112"/>
      <c r="G376" s="89"/>
      <c r="H376" s="89"/>
      <c r="I376" s="89"/>
      <c r="J376" s="112"/>
    </row>
    <row r="377" spans="3:10" x14ac:dyDescent="0.25">
      <c r="C377" s="30"/>
      <c r="D377" s="30"/>
      <c r="E377" s="67"/>
      <c r="F377" s="112"/>
      <c r="G377" s="89"/>
      <c r="H377" s="89"/>
      <c r="I377" s="89"/>
      <c r="J377" s="112"/>
    </row>
    <row r="378" spans="3:10" x14ac:dyDescent="0.25">
      <c r="C378" s="30"/>
      <c r="D378" s="30"/>
      <c r="E378" s="67"/>
      <c r="F378" s="112"/>
      <c r="G378" s="89"/>
      <c r="H378" s="89"/>
      <c r="I378" s="89"/>
      <c r="J378" s="112"/>
    </row>
    <row r="379" spans="3:10" x14ac:dyDescent="0.25">
      <c r="C379" s="30"/>
      <c r="D379" s="30"/>
      <c r="E379" s="67"/>
      <c r="F379" s="112"/>
      <c r="G379" s="89"/>
      <c r="H379" s="89"/>
      <c r="I379" s="89"/>
      <c r="J379" s="112"/>
    </row>
    <row r="380" spans="3:10" x14ac:dyDescent="0.25">
      <c r="C380" s="30"/>
      <c r="D380" s="30"/>
      <c r="E380" s="67"/>
      <c r="F380" s="112"/>
      <c r="G380" s="89"/>
      <c r="H380" s="89"/>
      <c r="I380" s="89"/>
      <c r="J380" s="112"/>
    </row>
    <row r="381" spans="3:10" x14ac:dyDescent="0.25">
      <c r="C381" s="30"/>
      <c r="D381" s="30"/>
      <c r="E381" s="67"/>
      <c r="F381" s="112"/>
      <c r="G381" s="89"/>
      <c r="H381" s="89"/>
      <c r="I381" s="89"/>
      <c r="J381" s="112"/>
    </row>
    <row r="382" spans="3:10" x14ac:dyDescent="0.25">
      <c r="C382" s="30"/>
      <c r="D382" s="30"/>
      <c r="E382" s="67"/>
      <c r="F382" s="112"/>
      <c r="G382" s="89"/>
      <c r="H382" s="89"/>
      <c r="I382" s="89"/>
      <c r="J382" s="112"/>
    </row>
    <row r="383" spans="3:10" x14ac:dyDescent="0.25">
      <c r="C383" s="30"/>
      <c r="D383" s="30"/>
      <c r="E383" s="67"/>
      <c r="F383" s="112"/>
      <c r="G383" s="89"/>
      <c r="H383" s="89"/>
      <c r="I383" s="89"/>
      <c r="J383" s="112"/>
    </row>
    <row r="384" spans="3:10" x14ac:dyDescent="0.25">
      <c r="C384" s="30"/>
      <c r="D384" s="30"/>
      <c r="E384" s="67"/>
      <c r="F384" s="112"/>
      <c r="G384" s="89"/>
      <c r="H384" s="89"/>
      <c r="I384" s="89"/>
      <c r="J384" s="112"/>
    </row>
    <row r="385" spans="3:10" x14ac:dyDescent="0.25">
      <c r="C385" s="30"/>
      <c r="D385" s="30"/>
      <c r="E385" s="67"/>
      <c r="F385" s="112"/>
      <c r="G385" s="89"/>
      <c r="H385" s="89"/>
      <c r="I385" s="89"/>
      <c r="J385" s="112"/>
    </row>
    <row r="386" spans="3:10" x14ac:dyDescent="0.25">
      <c r="C386" s="30"/>
      <c r="D386" s="30"/>
      <c r="E386" s="67"/>
      <c r="F386" s="112"/>
      <c r="G386" s="89"/>
      <c r="H386" s="89"/>
      <c r="I386" s="89"/>
      <c r="J386" s="112"/>
    </row>
    <row r="387" spans="3:10" x14ac:dyDescent="0.25">
      <c r="C387" s="30"/>
      <c r="D387" s="30"/>
      <c r="E387" s="67"/>
      <c r="F387" s="112"/>
      <c r="G387" s="89"/>
      <c r="H387" s="89"/>
      <c r="I387" s="89"/>
      <c r="J387" s="112"/>
    </row>
    <row r="388" spans="3:10" x14ac:dyDescent="0.25">
      <c r="C388" s="30"/>
      <c r="D388" s="30"/>
      <c r="E388" s="67"/>
      <c r="F388" s="112"/>
      <c r="G388" s="89"/>
      <c r="H388" s="89"/>
      <c r="I388" s="89"/>
      <c r="J388" s="112"/>
    </row>
    <row r="389" spans="3:10" x14ac:dyDescent="0.25">
      <c r="C389" s="30"/>
      <c r="D389" s="30"/>
      <c r="E389" s="67"/>
      <c r="F389" s="112"/>
      <c r="G389" s="89"/>
      <c r="H389" s="89"/>
      <c r="I389" s="89"/>
      <c r="J389" s="112"/>
    </row>
    <row r="390" spans="3:10" x14ac:dyDescent="0.25">
      <c r="C390" s="30"/>
      <c r="D390" s="30"/>
      <c r="E390" s="67"/>
      <c r="F390" s="112"/>
      <c r="G390" s="89"/>
      <c r="H390" s="89"/>
      <c r="I390" s="89"/>
      <c r="J390" s="112"/>
    </row>
    <row r="391" spans="3:10" x14ac:dyDescent="0.25">
      <c r="C391" s="30"/>
      <c r="D391" s="30"/>
      <c r="E391" s="67"/>
      <c r="F391" s="112"/>
      <c r="G391" s="89"/>
      <c r="H391" s="89"/>
      <c r="I391" s="89"/>
      <c r="J391" s="112"/>
    </row>
    <row r="392" spans="3:10" x14ac:dyDescent="0.25">
      <c r="C392" s="30"/>
      <c r="D392" s="30"/>
      <c r="E392" s="67"/>
      <c r="F392" s="112"/>
      <c r="G392" s="89"/>
      <c r="H392" s="89"/>
      <c r="I392" s="89"/>
      <c r="J392" s="112"/>
    </row>
    <row r="393" spans="3:10" x14ac:dyDescent="0.25">
      <c r="C393" s="30"/>
      <c r="D393" s="30"/>
      <c r="E393" s="67"/>
      <c r="F393" s="112"/>
      <c r="G393" s="89"/>
      <c r="H393" s="89"/>
      <c r="I393" s="89"/>
      <c r="J393" s="112"/>
    </row>
    <row r="394" spans="3:10" x14ac:dyDescent="0.25">
      <c r="C394" s="30"/>
      <c r="D394" s="30"/>
      <c r="E394" s="67"/>
      <c r="F394" s="112"/>
      <c r="G394" s="89"/>
      <c r="H394" s="89"/>
      <c r="I394" s="89"/>
      <c r="J394" s="112"/>
    </row>
    <row r="395" spans="3:10" x14ac:dyDescent="0.25">
      <c r="C395" s="30"/>
      <c r="D395" s="30"/>
      <c r="E395" s="67"/>
      <c r="F395" s="112"/>
      <c r="G395" s="89"/>
      <c r="H395" s="89"/>
      <c r="I395" s="89"/>
      <c r="J395" s="112"/>
    </row>
    <row r="396" spans="3:10" x14ac:dyDescent="0.25">
      <c r="C396" s="30"/>
      <c r="D396" s="30"/>
      <c r="E396" s="67"/>
      <c r="F396" s="112"/>
      <c r="G396" s="89"/>
      <c r="H396" s="89"/>
      <c r="I396" s="89"/>
      <c r="J396" s="112"/>
    </row>
    <row r="397" spans="3:10" x14ac:dyDescent="0.25">
      <c r="C397" s="30"/>
      <c r="D397" s="30"/>
      <c r="E397" s="67"/>
      <c r="F397" s="112"/>
      <c r="G397" s="89"/>
      <c r="H397" s="89"/>
      <c r="I397" s="89"/>
      <c r="J397" s="112"/>
    </row>
    <row r="398" spans="3:10" x14ac:dyDescent="0.25">
      <c r="C398" s="30"/>
      <c r="D398" s="30"/>
      <c r="E398" s="67"/>
      <c r="F398" s="112"/>
      <c r="G398" s="89"/>
      <c r="H398" s="89"/>
      <c r="I398" s="89"/>
      <c r="J398" s="112"/>
    </row>
    <row r="399" spans="3:10" x14ac:dyDescent="0.25">
      <c r="C399" s="30"/>
      <c r="D399" s="30"/>
      <c r="E399" s="67"/>
      <c r="F399" s="112"/>
      <c r="G399" s="89"/>
      <c r="H399" s="89"/>
      <c r="I399" s="89"/>
      <c r="J399" s="112"/>
    </row>
    <row r="400" spans="3:10" x14ac:dyDescent="0.25">
      <c r="C400" s="30"/>
      <c r="D400" s="30"/>
      <c r="E400" s="67"/>
      <c r="F400" s="112"/>
      <c r="G400" s="89"/>
      <c r="H400" s="89"/>
      <c r="I400" s="89"/>
      <c r="J400" s="112"/>
    </row>
    <row r="401" spans="3:10" x14ac:dyDescent="0.25">
      <c r="C401" s="30"/>
      <c r="D401" s="30"/>
      <c r="E401" s="67"/>
      <c r="F401" s="112"/>
      <c r="G401" s="89"/>
      <c r="H401" s="89"/>
      <c r="I401" s="89"/>
      <c r="J401" s="112"/>
    </row>
    <row r="402" spans="3:10" x14ac:dyDescent="0.25">
      <c r="C402" s="30"/>
      <c r="D402" s="30"/>
      <c r="E402" s="67"/>
      <c r="F402" s="112"/>
      <c r="G402" s="89"/>
      <c r="H402" s="89"/>
      <c r="I402" s="89"/>
      <c r="J402" s="112"/>
    </row>
    <row r="403" spans="3:10" x14ac:dyDescent="0.25">
      <c r="C403" s="30"/>
      <c r="D403" s="30"/>
      <c r="E403" s="67"/>
      <c r="F403" s="112"/>
      <c r="G403" s="89"/>
      <c r="H403" s="89"/>
      <c r="I403" s="89"/>
      <c r="J403" s="112"/>
    </row>
    <row r="404" spans="3:10" x14ac:dyDescent="0.25">
      <c r="C404" s="30"/>
      <c r="D404" s="30"/>
      <c r="E404" s="67"/>
      <c r="F404" s="112"/>
      <c r="G404" s="89"/>
      <c r="H404" s="89"/>
      <c r="I404" s="89"/>
      <c r="J404" s="112"/>
    </row>
    <row r="405" spans="3:10" x14ac:dyDescent="0.25">
      <c r="C405" s="30"/>
      <c r="D405" s="30"/>
      <c r="E405" s="67"/>
      <c r="F405" s="112"/>
      <c r="G405" s="89"/>
      <c r="H405" s="89"/>
      <c r="I405" s="89"/>
      <c r="J405" s="112"/>
    </row>
    <row r="406" spans="3:10" x14ac:dyDescent="0.25">
      <c r="C406" s="30"/>
      <c r="D406" s="30"/>
      <c r="E406" s="67"/>
      <c r="F406" s="112"/>
      <c r="G406" s="89"/>
      <c r="H406" s="89"/>
      <c r="I406" s="89"/>
      <c r="J406" s="112"/>
    </row>
    <row r="407" spans="3:10" x14ac:dyDescent="0.25">
      <c r="C407" s="30"/>
      <c r="D407" s="30"/>
      <c r="E407" s="67"/>
      <c r="F407" s="112"/>
      <c r="G407" s="89"/>
      <c r="H407" s="89"/>
      <c r="I407" s="89"/>
      <c r="J407" s="112"/>
    </row>
    <row r="408" spans="3:10" x14ac:dyDescent="0.25">
      <c r="C408" s="30"/>
      <c r="D408" s="30"/>
      <c r="E408" s="67"/>
      <c r="F408" s="112"/>
      <c r="G408" s="89"/>
      <c r="H408" s="89"/>
      <c r="I408" s="89"/>
      <c r="J408" s="112"/>
    </row>
    <row r="409" spans="3:10" x14ac:dyDescent="0.25">
      <c r="C409" s="30"/>
      <c r="D409" s="30"/>
      <c r="E409" s="67"/>
      <c r="F409" s="112"/>
      <c r="G409" s="89"/>
      <c r="H409" s="89"/>
      <c r="I409" s="89"/>
      <c r="J409" s="112"/>
    </row>
    <row r="410" spans="3:10" x14ac:dyDescent="0.25">
      <c r="C410" s="30"/>
      <c r="D410" s="30"/>
      <c r="E410" s="67"/>
      <c r="F410" s="112"/>
      <c r="G410" s="89"/>
      <c r="H410" s="89"/>
      <c r="I410" s="89"/>
      <c r="J410" s="112"/>
    </row>
    <row r="411" spans="3:10" x14ac:dyDescent="0.25">
      <c r="C411" s="30"/>
      <c r="D411" s="30"/>
      <c r="E411" s="67"/>
      <c r="F411" s="112"/>
      <c r="G411" s="89"/>
      <c r="H411" s="89"/>
      <c r="I411" s="89"/>
      <c r="J411" s="112"/>
    </row>
    <row r="412" spans="3:10" x14ac:dyDescent="0.25">
      <c r="C412" s="30"/>
      <c r="D412" s="30"/>
      <c r="E412" s="67"/>
      <c r="F412" s="112"/>
      <c r="G412" s="89"/>
      <c r="H412" s="89"/>
      <c r="I412" s="89"/>
      <c r="J412" s="112"/>
    </row>
    <row r="413" spans="3:10" x14ac:dyDescent="0.25">
      <c r="C413" s="30"/>
      <c r="D413" s="30"/>
      <c r="E413" s="67"/>
      <c r="F413" s="112"/>
      <c r="G413" s="89"/>
      <c r="H413" s="89"/>
      <c r="I413" s="89"/>
      <c r="J413" s="112"/>
    </row>
    <row r="414" spans="3:10" x14ac:dyDescent="0.25">
      <c r="C414" s="30"/>
      <c r="D414" s="30"/>
      <c r="E414" s="67"/>
      <c r="F414" s="112"/>
      <c r="G414" s="89"/>
      <c r="H414" s="89"/>
      <c r="I414" s="89"/>
      <c r="J414" s="112"/>
    </row>
    <row r="415" spans="3:10" x14ac:dyDescent="0.25">
      <c r="C415" s="30"/>
      <c r="D415" s="30"/>
      <c r="E415" s="67"/>
      <c r="F415" s="112"/>
      <c r="G415" s="89"/>
      <c r="H415" s="89"/>
      <c r="I415" s="89"/>
      <c r="J415" s="112"/>
    </row>
    <row r="416" spans="3:10" x14ac:dyDescent="0.25">
      <c r="C416" s="30"/>
      <c r="D416" s="30"/>
      <c r="E416" s="67"/>
      <c r="F416" s="112"/>
      <c r="G416" s="89"/>
      <c r="H416" s="89"/>
      <c r="I416" s="89"/>
      <c r="J416" s="112"/>
    </row>
    <row r="417" spans="3:10" x14ac:dyDescent="0.25">
      <c r="C417" s="30"/>
      <c r="D417" s="30"/>
      <c r="E417" s="67"/>
      <c r="F417" s="112"/>
      <c r="G417" s="89"/>
      <c r="H417" s="89"/>
      <c r="I417" s="89"/>
      <c r="J417" s="112"/>
    </row>
    <row r="418" spans="3:10" x14ac:dyDescent="0.25">
      <c r="C418" s="30"/>
      <c r="D418" s="30"/>
      <c r="E418" s="67"/>
      <c r="F418" s="112"/>
      <c r="G418" s="89"/>
      <c r="H418" s="89"/>
      <c r="I418" s="89"/>
      <c r="J418" s="112"/>
    </row>
    <row r="419" spans="3:10" x14ac:dyDescent="0.25">
      <c r="C419" s="30"/>
      <c r="D419" s="30"/>
      <c r="E419" s="67"/>
      <c r="F419" s="112"/>
      <c r="G419" s="89"/>
      <c r="H419" s="89"/>
      <c r="I419" s="89"/>
      <c r="J419" s="112"/>
    </row>
    <row r="420" spans="3:10" x14ac:dyDescent="0.25">
      <c r="C420" s="30"/>
      <c r="D420" s="30"/>
      <c r="E420" s="67"/>
      <c r="F420" s="112"/>
      <c r="G420" s="89"/>
      <c r="H420" s="89"/>
      <c r="I420" s="89"/>
      <c r="J420" s="112"/>
    </row>
    <row r="421" spans="3:10" x14ac:dyDescent="0.25">
      <c r="C421" s="30"/>
      <c r="D421" s="30"/>
      <c r="E421" s="67"/>
      <c r="F421" s="112"/>
      <c r="G421" s="89"/>
      <c r="H421" s="89"/>
      <c r="I421" s="89"/>
      <c r="J421" s="112"/>
    </row>
    <row r="422" spans="3:10" x14ac:dyDescent="0.25">
      <c r="C422" s="30"/>
      <c r="D422" s="30"/>
      <c r="E422" s="67"/>
      <c r="F422" s="112"/>
      <c r="G422" s="89"/>
      <c r="H422" s="89"/>
      <c r="I422" s="89"/>
      <c r="J422" s="112"/>
    </row>
    <row r="423" spans="3:10" x14ac:dyDescent="0.25">
      <c r="C423" s="30"/>
      <c r="D423" s="30"/>
      <c r="E423" s="67"/>
      <c r="F423" s="112"/>
      <c r="G423" s="89"/>
      <c r="H423" s="89"/>
      <c r="I423" s="89"/>
      <c r="J423" s="112"/>
    </row>
    <row r="424" spans="3:10" x14ac:dyDescent="0.25">
      <c r="C424" s="30"/>
      <c r="D424" s="30"/>
      <c r="E424" s="67"/>
      <c r="F424" s="112"/>
      <c r="G424" s="89"/>
      <c r="H424" s="89"/>
      <c r="I424" s="89"/>
      <c r="J424" s="112"/>
    </row>
    <row r="425" spans="3:10" x14ac:dyDescent="0.25">
      <c r="C425" s="30"/>
      <c r="D425" s="30"/>
      <c r="E425" s="67"/>
      <c r="F425" s="112"/>
      <c r="G425" s="89"/>
      <c r="H425" s="89"/>
      <c r="I425" s="89"/>
      <c r="J425" s="1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J209"/>
  <sheetViews>
    <sheetView showGridLines="0" zoomScale="90" zoomScaleNormal="90" workbookViewId="0"/>
  </sheetViews>
  <sheetFormatPr defaultRowHeight="15" x14ac:dyDescent="0.25"/>
  <cols>
    <col min="1" max="1" width="99.42578125" style="98" bestFit="1" customWidth="1"/>
    <col min="2" max="2" width="5.85546875" style="98" customWidth="1"/>
    <col min="3" max="3" width="10" style="98" bestFit="1" customWidth="1"/>
    <col min="4" max="4" width="11.7109375" style="98" customWidth="1"/>
    <col min="5" max="5" width="15.85546875" style="98" bestFit="1" customWidth="1"/>
    <col min="6" max="6" width="16.42578125" style="98" bestFit="1" customWidth="1"/>
    <col min="7" max="7" width="17.5703125" style="98" bestFit="1" customWidth="1"/>
    <col min="8" max="8" width="12.85546875" style="98" bestFit="1" customWidth="1"/>
    <col min="9" max="10" width="12.140625" style="98" bestFit="1" customWidth="1"/>
    <col min="11" max="16384" width="9.140625" style="98"/>
  </cols>
  <sheetData>
    <row r="1" spans="1:10" x14ac:dyDescent="0.25">
      <c r="A1" s="15" t="s">
        <v>925</v>
      </c>
      <c r="F1" s="101">
        <v>43160.388223842594</v>
      </c>
    </row>
    <row r="2" spans="1:10" x14ac:dyDescent="0.25">
      <c r="A2" s="47" t="s">
        <v>340</v>
      </c>
      <c r="C2" s="56" t="s">
        <v>10</v>
      </c>
      <c r="D2" s="56" t="s">
        <v>859</v>
      </c>
      <c r="E2" s="56" t="s">
        <v>367</v>
      </c>
      <c r="F2" s="53" t="s">
        <v>869</v>
      </c>
      <c r="G2" s="53" t="s">
        <v>367</v>
      </c>
      <c r="H2" s="53" t="s">
        <v>368</v>
      </c>
      <c r="I2" s="53" t="s">
        <v>369</v>
      </c>
      <c r="J2" s="53" t="s">
        <v>926</v>
      </c>
    </row>
    <row r="3" spans="1:10" x14ac:dyDescent="0.25">
      <c r="A3" s="48" t="s">
        <v>341</v>
      </c>
      <c r="C3" s="29" t="str">
        <f>VLOOKUP(D3,[1]ResCat!$A$2:$B$268,2,FALSE)</f>
        <v>XXX</v>
      </c>
      <c r="D3" s="29" t="str">
        <f>IF(ISNA(VLOOKUP(E3,[1]COA!$A$3:$B$337,2,FALSE)),"XXX",VLOOKUP(E3,[1]COA!$A$3:$B$337,2,FALSE))</f>
        <v>C48</v>
      </c>
      <c r="E3" s="111" t="str">
        <f>G3&amp;"-"&amp;H3&amp;"-"&amp;I3</f>
        <v>0009-1005-0014</v>
      </c>
      <c r="F3" s="112">
        <v>201801</v>
      </c>
      <c r="G3" s="89" t="s">
        <v>458</v>
      </c>
      <c r="H3" s="89" t="s">
        <v>385</v>
      </c>
      <c r="I3" s="89" t="s">
        <v>460</v>
      </c>
      <c r="J3" s="112">
        <v>14038</v>
      </c>
    </row>
    <row r="4" spans="1:10" x14ac:dyDescent="0.25">
      <c r="A4" s="48" t="s">
        <v>342</v>
      </c>
      <c r="C4" s="30" t="str">
        <f>VLOOKUP(D4,[1]ResCat!$A$2:$B$268,2,FALSE)</f>
        <v>XXX</v>
      </c>
      <c r="D4" s="30" t="str">
        <f>IF(ISNA(VLOOKUP(E4,[1]COA!$A$3:$B$337,2,FALSE)),"XXX",VLOOKUP(E4,[1]COA!$A$3:$B$337,2,FALSE))</f>
        <v>C49</v>
      </c>
      <c r="E4" s="67" t="str">
        <f t="shared" ref="E4:E17" si="0">G4&amp;"-"&amp;H4&amp;"-"&amp;I4</f>
        <v>0009-1003-0014</v>
      </c>
      <c r="F4" s="112">
        <v>201801</v>
      </c>
      <c r="G4" s="89" t="s">
        <v>458</v>
      </c>
      <c r="H4" s="89" t="s">
        <v>381</v>
      </c>
      <c r="I4" s="89" t="s">
        <v>460</v>
      </c>
      <c r="J4" s="112">
        <v>1068</v>
      </c>
    </row>
    <row r="5" spans="1:10" x14ac:dyDescent="0.25">
      <c r="A5" s="48" t="s">
        <v>343</v>
      </c>
      <c r="C5" s="30" t="str">
        <f>VLOOKUP(D5,[1]ResCat!$A$2:$B$268,2,FALSE)</f>
        <v>XXX</v>
      </c>
      <c r="D5" s="30" t="str">
        <f>IF(ISNA(VLOOKUP(E5,[1]COA!$A$3:$B$337,2,FALSE)),"XXX",VLOOKUP(E5,[1]COA!$A$3:$B$337,2,FALSE))</f>
        <v>C46</v>
      </c>
      <c r="E5" s="67" t="str">
        <f t="shared" si="0"/>
        <v>0009-1001-0014</v>
      </c>
      <c r="F5" s="112">
        <v>201801</v>
      </c>
      <c r="G5" s="89" t="s">
        <v>458</v>
      </c>
      <c r="H5" s="89" t="s">
        <v>338</v>
      </c>
      <c r="I5" s="89" t="s">
        <v>460</v>
      </c>
      <c r="J5" s="112">
        <v>17307</v>
      </c>
    </row>
    <row r="6" spans="1:10" x14ac:dyDescent="0.25">
      <c r="A6" s="48" t="s">
        <v>344</v>
      </c>
      <c r="C6" s="30" t="str">
        <f>VLOOKUP(D6,[1]ResCat!$A$2:$B$268,2,FALSE)</f>
        <v>AGDMHC</v>
      </c>
      <c r="D6" s="30" t="str">
        <f>IF(ISNA(VLOOKUP(E6,[1]COA!$A$3:$B$337,2,FALSE)),"XXX",VLOOKUP(E6,[1]COA!$A$3:$B$337,2,FALSE))</f>
        <v>E71</v>
      </c>
      <c r="E6" s="67" t="str">
        <f t="shared" si="0"/>
        <v>0015-1012-0035</v>
      </c>
      <c r="F6" s="112">
        <v>201801</v>
      </c>
      <c r="G6" s="89" t="s">
        <v>602</v>
      </c>
      <c r="H6" s="89" t="s">
        <v>392</v>
      </c>
      <c r="I6" s="89" t="s">
        <v>403</v>
      </c>
      <c r="J6" s="112">
        <v>12065</v>
      </c>
    </row>
    <row r="7" spans="1:10" x14ac:dyDescent="0.25">
      <c r="A7" s="50" t="s">
        <v>345</v>
      </c>
      <c r="C7" s="30" t="str">
        <f>VLOOKUP(D7,[1]ResCat!$A$2:$B$268,2,FALSE)</f>
        <v>XXX</v>
      </c>
      <c r="D7" s="30" t="str">
        <f>IF(ISNA(VLOOKUP(E7,[1]COA!$A$3:$B$337,2,FALSE)),"XXX",VLOOKUP(E7,[1]COA!$A$3:$B$337,2,FALSE))</f>
        <v>E91</v>
      </c>
      <c r="E7" s="67" t="str">
        <f t="shared" si="0"/>
        <v>0015-1004-0035</v>
      </c>
      <c r="F7" s="112">
        <v>201801</v>
      </c>
      <c r="G7" s="89" t="s">
        <v>602</v>
      </c>
      <c r="H7" s="89" t="s">
        <v>382</v>
      </c>
      <c r="I7" s="89" t="s">
        <v>403</v>
      </c>
      <c r="J7" s="112">
        <v>3335</v>
      </c>
    </row>
    <row r="8" spans="1:10" x14ac:dyDescent="0.25">
      <c r="A8" s="50" t="s">
        <v>346</v>
      </c>
      <c r="C8" s="30" t="str">
        <f>VLOOKUP(D8,[1]ResCat!$A$2:$B$268,2,FALSE)</f>
        <v>XXX</v>
      </c>
      <c r="D8" s="30" t="str">
        <f>IF(ISNA(VLOOKUP(E8,[1]COA!$A$3:$B$337,2,FALSE)),"XXX",VLOOKUP(E8,[1]COA!$A$3:$B$337,2,FALSE))</f>
        <v>XXX</v>
      </c>
      <c r="E8" s="67" t="str">
        <f t="shared" si="0"/>
        <v>0004-1006-0025</v>
      </c>
      <c r="F8" s="112">
        <v>201801</v>
      </c>
      <c r="G8" s="89" t="s">
        <v>528</v>
      </c>
      <c r="H8" s="89" t="s">
        <v>386</v>
      </c>
      <c r="I8" s="89" t="s">
        <v>409</v>
      </c>
      <c r="J8" s="112">
        <v>162</v>
      </c>
    </row>
    <row r="9" spans="1:10" x14ac:dyDescent="0.25">
      <c r="A9" s="50" t="s">
        <v>927</v>
      </c>
      <c r="C9" s="30" t="str">
        <f>VLOOKUP(D9,[1]ResCat!$A$2:$B$268,2,FALSE)</f>
        <v>XXX</v>
      </c>
      <c r="D9" s="30" t="str">
        <f>IF(ISNA(VLOOKUP(E9,[1]COA!$A$3:$B$337,2,FALSE)),"XXX",VLOOKUP(E9,[1]COA!$A$3:$B$337,2,FALSE))</f>
        <v>XXX</v>
      </c>
      <c r="E9" s="67" t="str">
        <f t="shared" si="0"/>
        <v>0004-1005-0025</v>
      </c>
      <c r="F9" s="112">
        <v>201801</v>
      </c>
      <c r="G9" s="89" t="s">
        <v>528</v>
      </c>
      <c r="H9" s="89" t="s">
        <v>385</v>
      </c>
      <c r="I9" s="89" t="s">
        <v>409</v>
      </c>
      <c r="J9" s="112">
        <v>10</v>
      </c>
    </row>
    <row r="10" spans="1:10" x14ac:dyDescent="0.25">
      <c r="A10" s="50" t="s">
        <v>347</v>
      </c>
      <c r="C10" s="30" t="str">
        <f>VLOOKUP(D10,[1]ResCat!$A$2:$B$268,2,FALSE)</f>
        <v>AGDMHC</v>
      </c>
      <c r="D10" s="30" t="str">
        <f>IF(ISNA(VLOOKUP(E10,[1]COA!$A$3:$B$337,2,FALSE)),"XXX",VLOOKUP(E10,[1]COA!$A$3:$B$337,2,FALSE))</f>
        <v>E65</v>
      </c>
      <c r="E10" s="67" t="str">
        <f t="shared" si="0"/>
        <v>0004-1010-0025</v>
      </c>
      <c r="F10" s="112">
        <v>201801</v>
      </c>
      <c r="G10" s="89" t="s">
        <v>528</v>
      </c>
      <c r="H10" s="89" t="s">
        <v>389</v>
      </c>
      <c r="I10" s="89" t="s">
        <v>409</v>
      </c>
      <c r="J10" s="112">
        <v>114366</v>
      </c>
    </row>
    <row r="11" spans="1:10" x14ac:dyDescent="0.25">
      <c r="A11" s="50" t="s">
        <v>362</v>
      </c>
      <c r="C11" s="30" t="str">
        <f>VLOOKUP(D11,[1]ResCat!$A$2:$B$268,2,FALSE)</f>
        <v>XXX</v>
      </c>
      <c r="D11" s="30" t="str">
        <f>IF(ISNA(VLOOKUP(E11,[1]COA!$A$3:$B$337,2,FALSE)),"XXX",VLOOKUP(E11,[1]COA!$A$3:$B$337,2,FALSE))</f>
        <v>C48</v>
      </c>
      <c r="E11" s="67" t="str">
        <f t="shared" si="0"/>
        <v>0009-1004-0014</v>
      </c>
      <c r="F11" s="112">
        <v>201801</v>
      </c>
      <c r="G11" s="89" t="s">
        <v>458</v>
      </c>
      <c r="H11" s="89" t="s">
        <v>382</v>
      </c>
      <c r="I11" s="89" t="s">
        <v>460</v>
      </c>
      <c r="J11" s="112">
        <v>18942</v>
      </c>
    </row>
    <row r="12" spans="1:10" x14ac:dyDescent="0.25">
      <c r="A12" s="113" t="s">
        <v>928</v>
      </c>
      <c r="C12" s="30" t="str">
        <f>VLOOKUP(D12,[1]ResCat!$A$2:$B$268,2,FALSE)</f>
        <v>XXX</v>
      </c>
      <c r="D12" s="30" t="str">
        <f>IF(ISNA(VLOOKUP(E12,[1]COA!$A$3:$B$337,2,FALSE)),"XXX",VLOOKUP(E12,[1]COA!$A$3:$B$337,2,FALSE))</f>
        <v>E91</v>
      </c>
      <c r="E12" s="67" t="str">
        <f t="shared" si="0"/>
        <v>0015-1006-0035</v>
      </c>
      <c r="F12" s="112">
        <v>201801</v>
      </c>
      <c r="G12" s="89" t="s">
        <v>602</v>
      </c>
      <c r="H12" s="89" t="s">
        <v>386</v>
      </c>
      <c r="I12" s="89" t="s">
        <v>403</v>
      </c>
      <c r="J12" s="112">
        <v>4192</v>
      </c>
    </row>
    <row r="13" spans="1:10" x14ac:dyDescent="0.25">
      <c r="A13" s="113" t="s">
        <v>929</v>
      </c>
      <c r="C13" s="30" t="str">
        <f>VLOOKUP(D13,[1]ResCat!$A$2:$B$268,2,FALSE)</f>
        <v>XXX</v>
      </c>
      <c r="D13" s="30" t="str">
        <f>IF(ISNA(VLOOKUP(E13,[1]COA!$A$3:$B$337,2,FALSE)),"XXX",VLOOKUP(E13,[1]COA!$A$3:$B$337,2,FALSE))</f>
        <v>C49</v>
      </c>
      <c r="E13" s="67" t="str">
        <f t="shared" si="0"/>
        <v>0009-1012-0014</v>
      </c>
      <c r="F13" s="112">
        <v>201801</v>
      </c>
      <c r="G13" s="89" t="s">
        <v>458</v>
      </c>
      <c r="H13" s="89" t="s">
        <v>392</v>
      </c>
      <c r="I13" s="89" t="s">
        <v>460</v>
      </c>
      <c r="J13" s="112">
        <v>2283</v>
      </c>
    </row>
    <row r="14" spans="1:10" x14ac:dyDescent="0.25">
      <c r="A14" s="113" t="s">
        <v>930</v>
      </c>
      <c r="C14" s="30" t="str">
        <f>VLOOKUP(D14,[1]ResCat!$A$2:$B$268,2,FALSE)</f>
        <v>AGDMHC</v>
      </c>
      <c r="D14" s="30" t="str">
        <f>IF(ISNA(VLOOKUP(E14,[1]COA!$A$3:$B$337,2,FALSE)),"XXX",VLOOKUP(E14,[1]COA!$A$3:$B$337,2,FALSE))</f>
        <v>E61</v>
      </c>
      <c r="E14" s="67" t="str">
        <f t="shared" si="0"/>
        <v>0004-1001-0025</v>
      </c>
      <c r="F14" s="112">
        <v>201801</v>
      </c>
      <c r="G14" s="89" t="s">
        <v>528</v>
      </c>
      <c r="H14" s="89" t="s">
        <v>338</v>
      </c>
      <c r="I14" s="89" t="s">
        <v>409</v>
      </c>
      <c r="J14" s="112">
        <v>122846</v>
      </c>
    </row>
    <row r="15" spans="1:10" x14ac:dyDescent="0.25">
      <c r="A15" s="113" t="s">
        <v>931</v>
      </c>
      <c r="C15" s="30" t="str">
        <f>VLOOKUP(D15,[1]ResCat!$A$2:$B$268,2,FALSE)</f>
        <v>XXX</v>
      </c>
      <c r="D15" s="30" t="str">
        <f>IF(ISNA(VLOOKUP(E15,[1]COA!$A$3:$B$337,2,FALSE)),"XXX",VLOOKUP(E15,[1]COA!$A$3:$B$337,2,FALSE))</f>
        <v>XXX</v>
      </c>
      <c r="E15" s="67" t="str">
        <f t="shared" si="0"/>
        <v>0015-1014-0035</v>
      </c>
      <c r="F15" s="112">
        <v>201801</v>
      </c>
      <c r="G15" s="89" t="s">
        <v>602</v>
      </c>
      <c r="H15" s="89" t="s">
        <v>401</v>
      </c>
      <c r="I15" s="89" t="s">
        <v>403</v>
      </c>
      <c r="J15" s="112">
        <v>12041</v>
      </c>
    </row>
    <row r="16" spans="1:10" x14ac:dyDescent="0.25">
      <c r="A16" s="113" t="s">
        <v>932</v>
      </c>
      <c r="C16" s="30" t="str">
        <f>VLOOKUP(D16,[1]ResCat!$A$2:$B$268,2,FALSE)</f>
        <v>XXX</v>
      </c>
      <c r="D16" s="30" t="str">
        <f>IF(ISNA(VLOOKUP(E16,[1]COA!$A$3:$B$337,2,FALSE)),"XXX",VLOOKUP(E16,[1]COA!$A$3:$B$337,2,FALSE))</f>
        <v>XXX</v>
      </c>
      <c r="E16" s="67" t="str">
        <f t="shared" si="0"/>
        <v>0004-1004-0025</v>
      </c>
      <c r="F16" s="112">
        <v>201801</v>
      </c>
      <c r="G16" s="89" t="s">
        <v>528</v>
      </c>
      <c r="H16" s="89" t="s">
        <v>382</v>
      </c>
      <c r="I16" s="89" t="s">
        <v>409</v>
      </c>
      <c r="J16" s="112">
        <v>39</v>
      </c>
    </row>
    <row r="17" spans="1:10" x14ac:dyDescent="0.25">
      <c r="A17" s="113" t="s">
        <v>933</v>
      </c>
      <c r="C17" s="30" t="str">
        <f>VLOOKUP(D17,[1]ResCat!$A$2:$B$268,2,FALSE)</f>
        <v>XXX</v>
      </c>
      <c r="D17" s="30" t="str">
        <f>IF(ISNA(VLOOKUP(E17,[1]COA!$A$3:$B$337,2,FALSE)),"XXX",VLOOKUP(E17,[1]COA!$A$3:$B$337,2,FALSE))</f>
        <v>XXX</v>
      </c>
      <c r="E17" s="67" t="str">
        <f t="shared" si="0"/>
        <v>0004-1009-0025</v>
      </c>
      <c r="F17" s="112">
        <v>201801</v>
      </c>
      <c r="G17" s="89" t="s">
        <v>528</v>
      </c>
      <c r="H17" s="89" t="s">
        <v>335</v>
      </c>
      <c r="I17" s="89" t="s">
        <v>409</v>
      </c>
      <c r="J17" s="112">
        <v>2</v>
      </c>
    </row>
    <row r="18" spans="1:10" x14ac:dyDescent="0.25">
      <c r="A18" s="113" t="s">
        <v>934</v>
      </c>
      <c r="C18" s="30" t="str">
        <f>VLOOKUP(D18,[1]ResCat!$A$2:$B$268,2,FALSE)</f>
        <v>XXX</v>
      </c>
      <c r="D18" s="30" t="str">
        <f>IF(ISNA(VLOOKUP(E18,[1]COA!$A$3:$B$337,2,FALSE)),"XXX",VLOOKUP(E18,[1]COA!$A$3:$B$337,2,FALSE))</f>
        <v>C48</v>
      </c>
      <c r="E18" s="67" t="str">
        <f t="shared" ref="E18:E21" si="1">G18&amp;"-"&amp;H18&amp;"-"&amp;I18</f>
        <v>0009-1006-0014</v>
      </c>
      <c r="F18" s="112">
        <v>201801</v>
      </c>
      <c r="G18" s="89" t="s">
        <v>458</v>
      </c>
      <c r="H18" s="89" t="s">
        <v>386</v>
      </c>
      <c r="I18" s="89" t="s">
        <v>460</v>
      </c>
      <c r="J18" s="112">
        <v>19035</v>
      </c>
    </row>
    <row r="19" spans="1:10" x14ac:dyDescent="0.25">
      <c r="A19" s="113" t="s">
        <v>935</v>
      </c>
      <c r="C19" s="30" t="str">
        <f>VLOOKUP(D19,[1]ResCat!$A$2:$B$268,2,FALSE)</f>
        <v>XXX</v>
      </c>
      <c r="D19" s="30" t="str">
        <f>IF(ISNA(VLOOKUP(E19,[1]COA!$A$3:$B$337,2,FALSE)),"XXX",VLOOKUP(E19,[1]COA!$A$3:$B$337,2,FALSE))</f>
        <v>C28</v>
      </c>
      <c r="E19" s="67" t="str">
        <f t="shared" si="1"/>
        <v>0009-1010-0014</v>
      </c>
      <c r="F19" s="112">
        <v>201801</v>
      </c>
      <c r="G19" s="89" t="s">
        <v>458</v>
      </c>
      <c r="H19" s="89" t="s">
        <v>389</v>
      </c>
      <c r="I19" s="89" t="s">
        <v>460</v>
      </c>
      <c r="J19" s="112">
        <v>65149</v>
      </c>
    </row>
    <row r="20" spans="1:10" x14ac:dyDescent="0.25">
      <c r="A20" s="113" t="s">
        <v>936</v>
      </c>
      <c r="C20" s="30" t="str">
        <f>VLOOKUP(D20,[1]ResCat!$A$2:$B$268,2,FALSE)</f>
        <v>AGDMHC</v>
      </c>
      <c r="D20" s="30" t="str">
        <f>IF(ISNA(VLOOKUP(E20,[1]COA!$A$3:$B$337,2,FALSE)),"XXX",VLOOKUP(E20,[1]COA!$A$3:$B$337,2,FALSE))</f>
        <v>E71</v>
      </c>
      <c r="E20" s="67" t="str">
        <f t="shared" si="1"/>
        <v>0015-1013-0035</v>
      </c>
      <c r="F20" s="112">
        <v>201801</v>
      </c>
      <c r="G20" s="89" t="s">
        <v>602</v>
      </c>
      <c r="H20" s="89" t="s">
        <v>393</v>
      </c>
      <c r="I20" s="89" t="s">
        <v>403</v>
      </c>
      <c r="J20" s="112">
        <v>2326</v>
      </c>
    </row>
    <row r="21" spans="1:10" x14ac:dyDescent="0.25">
      <c r="A21" s="113" t="s">
        <v>937</v>
      </c>
      <c r="C21" s="30" t="str">
        <f>VLOOKUP(D21,[1]ResCat!$A$2:$B$268,2,FALSE)</f>
        <v>XXX</v>
      </c>
      <c r="D21" s="30" t="str">
        <f>IF(ISNA(VLOOKUP(E21,[1]COA!$A$3:$B$337,2,FALSE)),"XXX",VLOOKUP(E21,[1]COA!$A$3:$B$337,2,FALSE))</f>
        <v>C49</v>
      </c>
      <c r="E21" s="67" t="str">
        <f t="shared" si="1"/>
        <v>0009-1002-0014</v>
      </c>
      <c r="F21" s="112">
        <v>201801</v>
      </c>
      <c r="G21" s="89" t="s">
        <v>458</v>
      </c>
      <c r="H21" s="89" t="s">
        <v>380</v>
      </c>
      <c r="I21" s="89" t="s">
        <v>460</v>
      </c>
      <c r="J21" s="112">
        <v>7</v>
      </c>
    </row>
    <row r="22" spans="1:10" x14ac:dyDescent="0.25">
      <c r="A22" s="113" t="s">
        <v>938</v>
      </c>
      <c r="C22" s="30"/>
      <c r="D22" s="30"/>
      <c r="E22" s="67"/>
      <c r="F22" s="112"/>
      <c r="G22" s="89"/>
      <c r="H22" s="89"/>
      <c r="I22" s="89"/>
      <c r="J22" s="115"/>
    </row>
    <row r="23" spans="1:10" x14ac:dyDescent="0.25">
      <c r="A23" s="113" t="s">
        <v>939</v>
      </c>
      <c r="C23" s="30"/>
      <c r="D23" s="30"/>
      <c r="E23" s="67"/>
      <c r="F23" s="112"/>
      <c r="G23" s="89"/>
      <c r="H23" s="89"/>
      <c r="I23" s="89"/>
      <c r="J23" s="115"/>
    </row>
    <row r="24" spans="1:10" x14ac:dyDescent="0.25">
      <c r="A24" s="113" t="s">
        <v>940</v>
      </c>
      <c r="C24" s="30"/>
      <c r="D24" s="30"/>
      <c r="E24" s="67"/>
      <c r="F24" s="112"/>
      <c r="G24" s="89"/>
      <c r="H24" s="89"/>
      <c r="I24" s="89"/>
      <c r="J24" s="115"/>
    </row>
    <row r="25" spans="1:10" x14ac:dyDescent="0.25">
      <c r="A25" s="113" t="s">
        <v>941</v>
      </c>
      <c r="C25" s="30"/>
      <c r="D25" s="30"/>
      <c r="E25" s="67"/>
      <c r="F25" s="112"/>
      <c r="G25" s="89"/>
      <c r="H25" s="89"/>
      <c r="I25" s="89"/>
      <c r="J25" s="115"/>
    </row>
    <row r="26" spans="1:10" x14ac:dyDescent="0.25">
      <c r="A26" s="114" t="s">
        <v>950</v>
      </c>
      <c r="C26" s="30"/>
      <c r="D26" s="30"/>
      <c r="E26" s="67"/>
      <c r="F26" s="112"/>
      <c r="G26" s="89"/>
      <c r="H26" s="89"/>
      <c r="I26" s="89"/>
      <c r="J26" s="115"/>
    </row>
    <row r="27" spans="1:10" x14ac:dyDescent="0.25">
      <c r="A27" s="114" t="s">
        <v>948</v>
      </c>
      <c r="C27" s="30"/>
      <c r="D27" s="30"/>
      <c r="E27" s="67"/>
      <c r="F27" s="112"/>
      <c r="G27" s="89"/>
      <c r="H27" s="89"/>
      <c r="I27" s="89"/>
      <c r="J27" s="115"/>
    </row>
    <row r="28" spans="1:10" x14ac:dyDescent="0.25">
      <c r="A28" s="113" t="s">
        <v>943</v>
      </c>
      <c r="C28" s="30"/>
      <c r="D28" s="30"/>
      <c r="E28" s="67"/>
      <c r="F28" s="112"/>
      <c r="G28" s="89"/>
      <c r="H28" s="89"/>
      <c r="I28" s="89"/>
      <c r="J28" s="115"/>
    </row>
    <row r="29" spans="1:10" x14ac:dyDescent="0.25">
      <c r="A29" s="113" t="s">
        <v>944</v>
      </c>
      <c r="C29" s="30"/>
      <c r="D29" s="30"/>
      <c r="E29" s="67"/>
      <c r="F29" s="112"/>
      <c r="G29" s="89"/>
      <c r="H29" s="89"/>
      <c r="I29" s="89"/>
      <c r="J29" s="115"/>
    </row>
    <row r="30" spans="1:10" x14ac:dyDescent="0.25">
      <c r="A30" s="113" t="s">
        <v>945</v>
      </c>
      <c r="C30" s="30"/>
      <c r="D30" s="30"/>
      <c r="E30" s="67"/>
      <c r="F30" s="112"/>
      <c r="G30" s="89"/>
      <c r="H30" s="89"/>
      <c r="I30" s="89"/>
      <c r="J30" s="115"/>
    </row>
    <row r="31" spans="1:10" x14ac:dyDescent="0.25">
      <c r="A31" s="113" t="s">
        <v>930</v>
      </c>
      <c r="C31" s="30"/>
      <c r="D31" s="30"/>
      <c r="E31" s="67"/>
      <c r="F31" s="112"/>
      <c r="G31" s="89"/>
      <c r="H31" s="89"/>
      <c r="I31" s="89"/>
      <c r="J31" s="115"/>
    </row>
    <row r="32" spans="1:10" x14ac:dyDescent="0.25">
      <c r="A32" s="113" t="s">
        <v>931</v>
      </c>
      <c r="C32" s="30"/>
      <c r="D32" s="30"/>
      <c r="E32" s="67"/>
      <c r="F32" s="112"/>
      <c r="G32" s="89"/>
      <c r="H32" s="89"/>
      <c r="I32" s="89"/>
      <c r="J32" s="115"/>
    </row>
    <row r="33" spans="1:10" x14ac:dyDescent="0.25">
      <c r="A33" s="113" t="s">
        <v>932</v>
      </c>
      <c r="C33" s="30"/>
      <c r="D33" s="30"/>
      <c r="E33" s="67"/>
      <c r="F33" s="112"/>
      <c r="G33" s="89"/>
      <c r="H33" s="89"/>
      <c r="I33" s="89"/>
      <c r="J33" s="115"/>
    </row>
    <row r="34" spans="1:10" x14ac:dyDescent="0.25">
      <c r="A34" s="113" t="s">
        <v>946</v>
      </c>
      <c r="C34" s="30"/>
      <c r="D34" s="30"/>
      <c r="E34" s="67"/>
      <c r="F34" s="112"/>
      <c r="G34" s="89"/>
      <c r="H34" s="89"/>
      <c r="I34" s="89"/>
      <c r="J34" s="115"/>
    </row>
    <row r="35" spans="1:10" x14ac:dyDescent="0.25">
      <c r="A35" s="113" t="s">
        <v>947</v>
      </c>
      <c r="C35" s="30"/>
      <c r="D35" s="30"/>
      <c r="E35" s="67"/>
      <c r="F35" s="112"/>
      <c r="G35" s="89"/>
      <c r="H35" s="89"/>
      <c r="I35" s="89"/>
      <c r="J35" s="115"/>
    </row>
    <row r="36" spans="1:10" x14ac:dyDescent="0.25">
      <c r="A36" s="50" t="s">
        <v>356</v>
      </c>
      <c r="C36" s="30"/>
      <c r="D36" s="30"/>
      <c r="E36" s="67"/>
      <c r="F36" s="112"/>
      <c r="G36" s="89"/>
      <c r="H36" s="89"/>
      <c r="I36" s="89"/>
      <c r="J36" s="115"/>
    </row>
    <row r="37" spans="1:10" x14ac:dyDescent="0.25">
      <c r="A37" s="50" t="s">
        <v>6</v>
      </c>
      <c r="C37" s="30"/>
      <c r="D37" s="30"/>
      <c r="E37" s="67"/>
      <c r="F37" s="112"/>
      <c r="G37" s="89"/>
      <c r="H37" s="89"/>
      <c r="I37" s="89"/>
      <c r="J37" s="115"/>
    </row>
    <row r="38" spans="1:10" x14ac:dyDescent="0.25">
      <c r="A38" s="50" t="s">
        <v>357</v>
      </c>
      <c r="C38" s="30"/>
      <c r="D38" s="30"/>
      <c r="E38" s="67"/>
      <c r="F38" s="112"/>
      <c r="G38" s="89"/>
      <c r="H38" s="89"/>
      <c r="I38" s="89"/>
      <c r="J38" s="115"/>
    </row>
    <row r="39" spans="1:10" x14ac:dyDescent="0.25">
      <c r="A39" s="52" t="s">
        <v>7</v>
      </c>
      <c r="C39" s="30"/>
      <c r="D39" s="30"/>
      <c r="E39" s="67"/>
      <c r="F39" s="112"/>
      <c r="G39" s="89"/>
      <c r="H39" s="89"/>
      <c r="I39" s="89"/>
      <c r="J39" s="115"/>
    </row>
    <row r="40" spans="1:10" x14ac:dyDescent="0.25">
      <c r="C40" s="30"/>
      <c r="D40" s="30"/>
      <c r="E40" s="67"/>
      <c r="F40" s="112"/>
      <c r="G40" s="89"/>
      <c r="H40" s="89"/>
      <c r="I40" s="89"/>
      <c r="J40" s="115"/>
    </row>
    <row r="41" spans="1:10" x14ac:dyDescent="0.25">
      <c r="C41" s="30"/>
      <c r="D41" s="30"/>
      <c r="E41" s="67"/>
      <c r="F41" s="112"/>
      <c r="G41" s="89"/>
      <c r="H41" s="89"/>
      <c r="I41" s="89"/>
      <c r="J41" s="115"/>
    </row>
    <row r="42" spans="1:10" x14ac:dyDescent="0.25">
      <c r="C42" s="30"/>
      <c r="D42" s="30"/>
      <c r="E42" s="67"/>
      <c r="F42" s="112"/>
      <c r="G42" s="89"/>
      <c r="H42" s="89"/>
      <c r="I42" s="89"/>
      <c r="J42" s="115"/>
    </row>
    <row r="43" spans="1:10" x14ac:dyDescent="0.25">
      <c r="C43" s="30"/>
      <c r="D43" s="30"/>
      <c r="E43" s="67"/>
      <c r="F43" s="112"/>
      <c r="G43" s="89"/>
      <c r="H43" s="89"/>
      <c r="I43" s="89"/>
      <c r="J43" s="115"/>
    </row>
    <row r="44" spans="1:10" x14ac:dyDescent="0.25">
      <c r="C44" s="30"/>
      <c r="D44" s="30"/>
      <c r="E44" s="67"/>
      <c r="F44" s="112"/>
      <c r="G44" s="89"/>
      <c r="H44" s="89"/>
      <c r="I44" s="89"/>
      <c r="J44" s="115"/>
    </row>
    <row r="45" spans="1:10" x14ac:dyDescent="0.25">
      <c r="C45" s="30"/>
      <c r="D45" s="30"/>
      <c r="E45" s="67"/>
      <c r="F45" s="112"/>
      <c r="G45" s="89"/>
      <c r="H45" s="89"/>
      <c r="I45" s="89"/>
      <c r="J45" s="115"/>
    </row>
    <row r="46" spans="1:10" x14ac:dyDescent="0.25">
      <c r="C46" s="30"/>
      <c r="D46" s="30"/>
      <c r="E46" s="67"/>
      <c r="F46" s="112"/>
      <c r="G46" s="89"/>
      <c r="H46" s="89"/>
      <c r="I46" s="89"/>
      <c r="J46" s="115"/>
    </row>
    <row r="47" spans="1:10" x14ac:dyDescent="0.25">
      <c r="C47" s="30"/>
      <c r="D47" s="30"/>
      <c r="E47" s="67"/>
      <c r="F47" s="112"/>
      <c r="G47" s="89"/>
      <c r="H47" s="89"/>
      <c r="I47" s="89"/>
      <c r="J47" s="115"/>
    </row>
    <row r="48" spans="1:10" x14ac:dyDescent="0.25">
      <c r="C48" s="30"/>
      <c r="D48" s="30"/>
      <c r="E48" s="67"/>
      <c r="F48" s="112"/>
      <c r="G48" s="89"/>
      <c r="H48" s="89"/>
      <c r="I48" s="89"/>
      <c r="J48" s="115"/>
    </row>
    <row r="49" spans="3:10" x14ac:dyDescent="0.25">
      <c r="C49" s="30"/>
      <c r="D49" s="30"/>
      <c r="E49" s="67"/>
      <c r="F49" s="112"/>
      <c r="G49" s="89"/>
      <c r="H49" s="89"/>
      <c r="I49" s="89"/>
      <c r="J49" s="115"/>
    </row>
    <row r="50" spans="3:10" x14ac:dyDescent="0.25">
      <c r="C50" s="30"/>
      <c r="D50" s="30"/>
      <c r="E50" s="67"/>
      <c r="F50" s="112"/>
      <c r="G50" s="89"/>
      <c r="H50" s="89"/>
      <c r="I50" s="89"/>
      <c r="J50" s="115"/>
    </row>
    <row r="51" spans="3:10" x14ac:dyDescent="0.25">
      <c r="C51" s="30"/>
      <c r="D51" s="30"/>
      <c r="E51" s="67"/>
      <c r="F51" s="112"/>
      <c r="G51" s="89"/>
      <c r="H51" s="89"/>
      <c r="I51" s="89"/>
      <c r="J51" s="115"/>
    </row>
    <row r="52" spans="3:10" x14ac:dyDescent="0.25">
      <c r="C52" s="30"/>
      <c r="D52" s="30"/>
      <c r="E52" s="67"/>
      <c r="F52" s="112"/>
      <c r="G52" s="89"/>
      <c r="H52" s="89"/>
      <c r="I52" s="89"/>
      <c r="J52" s="115"/>
    </row>
    <row r="53" spans="3:10" x14ac:dyDescent="0.25">
      <c r="C53" s="30"/>
      <c r="D53" s="30"/>
      <c r="E53" s="67"/>
      <c r="F53" s="112"/>
      <c r="G53" s="89"/>
      <c r="H53" s="89"/>
      <c r="I53" s="89"/>
      <c r="J53" s="115"/>
    </row>
    <row r="54" spans="3:10" x14ac:dyDescent="0.25">
      <c r="C54" s="30"/>
      <c r="D54" s="30"/>
      <c r="E54" s="67"/>
      <c r="F54" s="112"/>
      <c r="G54" s="89"/>
      <c r="H54" s="89"/>
      <c r="I54" s="89"/>
      <c r="J54" s="115"/>
    </row>
    <row r="55" spans="3:10" x14ac:dyDescent="0.25">
      <c r="C55" s="30"/>
      <c r="D55" s="30"/>
      <c r="E55" s="67"/>
      <c r="F55" s="112"/>
      <c r="G55" s="89"/>
      <c r="H55" s="89"/>
      <c r="I55" s="89"/>
      <c r="J55" s="115"/>
    </row>
    <row r="56" spans="3:10" x14ac:dyDescent="0.25">
      <c r="C56" s="30"/>
      <c r="D56" s="30"/>
      <c r="E56" s="67"/>
      <c r="F56" s="112"/>
      <c r="G56" s="89"/>
      <c r="H56" s="89"/>
      <c r="I56" s="89"/>
      <c r="J56" s="115"/>
    </row>
    <row r="57" spans="3:10" x14ac:dyDescent="0.25">
      <c r="C57" s="30"/>
      <c r="D57" s="30"/>
      <c r="E57" s="67"/>
      <c r="F57" s="112"/>
      <c r="G57" s="89"/>
      <c r="H57" s="89"/>
      <c r="I57" s="89"/>
      <c r="J57" s="115"/>
    </row>
    <row r="58" spans="3:10" x14ac:dyDescent="0.25">
      <c r="C58" s="30"/>
      <c r="D58" s="30"/>
      <c r="E58" s="67"/>
      <c r="F58" s="112"/>
      <c r="G58" s="89"/>
      <c r="H58" s="89"/>
      <c r="I58" s="89"/>
      <c r="J58" s="115"/>
    </row>
    <row r="59" spans="3:10" x14ac:dyDescent="0.25">
      <c r="C59" s="30"/>
      <c r="D59" s="30"/>
      <c r="E59" s="67"/>
      <c r="F59" s="112"/>
      <c r="G59" s="89"/>
      <c r="H59" s="89"/>
      <c r="I59" s="89"/>
      <c r="J59" s="115"/>
    </row>
    <row r="60" spans="3:10" x14ac:dyDescent="0.25">
      <c r="C60" s="30"/>
      <c r="D60" s="30"/>
      <c r="E60" s="67"/>
      <c r="F60" s="112"/>
      <c r="G60" s="89"/>
      <c r="H60" s="89"/>
      <c r="I60" s="89"/>
      <c r="J60" s="115"/>
    </row>
    <row r="61" spans="3:10" x14ac:dyDescent="0.25">
      <c r="C61" s="30"/>
      <c r="D61" s="30"/>
      <c r="E61" s="67"/>
      <c r="F61" s="112"/>
      <c r="G61" s="89"/>
      <c r="H61" s="89"/>
      <c r="I61" s="89"/>
      <c r="J61" s="115"/>
    </row>
    <row r="62" spans="3:10" x14ac:dyDescent="0.25">
      <c r="C62" s="30"/>
      <c r="D62" s="30"/>
      <c r="E62" s="67"/>
      <c r="F62" s="112"/>
      <c r="G62" s="89"/>
      <c r="H62" s="89"/>
      <c r="I62" s="89"/>
      <c r="J62" s="115"/>
    </row>
    <row r="63" spans="3:10" x14ac:dyDescent="0.25">
      <c r="C63" s="30"/>
      <c r="D63" s="30"/>
      <c r="E63" s="67"/>
      <c r="F63" s="112"/>
      <c r="G63" s="89"/>
      <c r="H63" s="89"/>
      <c r="I63" s="89"/>
      <c r="J63" s="115"/>
    </row>
    <row r="64" spans="3:10" x14ac:dyDescent="0.25">
      <c r="C64" s="30"/>
      <c r="D64" s="30"/>
      <c r="E64" s="67"/>
      <c r="F64" s="112"/>
      <c r="G64" s="89"/>
      <c r="H64" s="89"/>
      <c r="I64" s="89"/>
      <c r="J64" s="115"/>
    </row>
    <row r="65" spans="3:10" x14ac:dyDescent="0.25">
      <c r="C65" s="30"/>
      <c r="D65" s="30"/>
      <c r="E65" s="67"/>
      <c r="F65" s="112"/>
      <c r="G65" s="89"/>
      <c r="H65" s="89"/>
      <c r="I65" s="89"/>
      <c r="J65" s="115"/>
    </row>
    <row r="66" spans="3:10" x14ac:dyDescent="0.25">
      <c r="C66" s="30"/>
      <c r="D66" s="30"/>
      <c r="E66" s="67"/>
      <c r="F66" s="112"/>
      <c r="G66" s="89"/>
      <c r="H66" s="89"/>
      <c r="I66" s="89"/>
      <c r="J66" s="115"/>
    </row>
    <row r="67" spans="3:10" x14ac:dyDescent="0.25">
      <c r="C67" s="30"/>
      <c r="D67" s="30"/>
      <c r="E67" s="67"/>
      <c r="F67" s="112"/>
      <c r="G67" s="89"/>
      <c r="H67" s="89"/>
      <c r="I67" s="89"/>
      <c r="J67" s="115"/>
    </row>
    <row r="68" spans="3:10" x14ac:dyDescent="0.25">
      <c r="C68" s="30"/>
      <c r="D68" s="30"/>
      <c r="E68" s="67"/>
      <c r="F68" s="112"/>
      <c r="G68" s="89"/>
      <c r="H68" s="89"/>
      <c r="I68" s="89"/>
      <c r="J68" s="115"/>
    </row>
    <row r="69" spans="3:10" x14ac:dyDescent="0.25">
      <c r="C69" s="30"/>
      <c r="D69" s="30"/>
      <c r="E69" s="67"/>
      <c r="F69" s="112"/>
      <c r="G69" s="89"/>
      <c r="H69" s="89"/>
      <c r="I69" s="89"/>
      <c r="J69" s="115"/>
    </row>
    <row r="70" spans="3:10" x14ac:dyDescent="0.25">
      <c r="C70" s="30"/>
      <c r="D70" s="30"/>
      <c r="E70" s="67"/>
      <c r="F70" s="112"/>
      <c r="G70" s="89"/>
      <c r="H70" s="89"/>
      <c r="I70" s="89"/>
      <c r="J70" s="115"/>
    </row>
    <row r="71" spans="3:10" x14ac:dyDescent="0.25">
      <c r="C71" s="30"/>
      <c r="D71" s="30"/>
      <c r="E71" s="67"/>
      <c r="F71" s="112"/>
      <c r="G71" s="89"/>
      <c r="H71" s="89"/>
      <c r="I71" s="89"/>
      <c r="J71" s="115"/>
    </row>
    <row r="72" spans="3:10" x14ac:dyDescent="0.25">
      <c r="C72" s="30"/>
      <c r="D72" s="30"/>
      <c r="E72" s="67"/>
      <c r="F72" s="112"/>
      <c r="G72" s="89"/>
      <c r="H72" s="89"/>
      <c r="I72" s="89"/>
      <c r="J72" s="115"/>
    </row>
    <row r="73" spans="3:10" x14ac:dyDescent="0.25">
      <c r="C73" s="30"/>
      <c r="D73" s="30"/>
      <c r="E73" s="67"/>
      <c r="F73" s="112"/>
      <c r="G73" s="89"/>
      <c r="H73" s="89"/>
      <c r="I73" s="89"/>
      <c r="J73" s="115"/>
    </row>
    <row r="74" spans="3:10" x14ac:dyDescent="0.25">
      <c r="C74" s="30"/>
      <c r="D74" s="30"/>
      <c r="E74" s="67"/>
      <c r="F74" s="112"/>
      <c r="G74" s="89"/>
      <c r="H74" s="89"/>
      <c r="I74" s="89"/>
      <c r="J74" s="115"/>
    </row>
    <row r="75" spans="3:10" x14ac:dyDescent="0.25">
      <c r="C75" s="30"/>
      <c r="D75" s="30"/>
      <c r="E75" s="67"/>
      <c r="F75" s="112"/>
      <c r="G75" s="89"/>
      <c r="H75" s="89"/>
      <c r="I75" s="89"/>
      <c r="J75" s="115"/>
    </row>
    <row r="76" spans="3:10" x14ac:dyDescent="0.25">
      <c r="C76" s="30"/>
      <c r="D76" s="30"/>
      <c r="E76" s="67"/>
      <c r="F76" s="112"/>
      <c r="G76" s="89"/>
      <c r="H76" s="89"/>
      <c r="I76" s="89"/>
      <c r="J76" s="115"/>
    </row>
    <row r="77" spans="3:10" x14ac:dyDescent="0.25">
      <c r="C77" s="30"/>
      <c r="D77" s="30"/>
      <c r="E77" s="67"/>
      <c r="F77" s="112"/>
      <c r="G77" s="89"/>
      <c r="H77" s="89"/>
      <c r="I77" s="89"/>
      <c r="J77" s="115"/>
    </row>
    <row r="78" spans="3:10" x14ac:dyDescent="0.25">
      <c r="C78" s="30"/>
      <c r="D78" s="30"/>
      <c r="E78" s="67"/>
      <c r="F78" s="112"/>
      <c r="G78" s="89"/>
      <c r="H78" s="89"/>
      <c r="I78" s="89"/>
      <c r="J78" s="115"/>
    </row>
    <row r="79" spans="3:10" x14ac:dyDescent="0.25">
      <c r="C79" s="30"/>
      <c r="D79" s="30"/>
      <c r="E79" s="67"/>
      <c r="F79" s="112"/>
      <c r="G79" s="89"/>
      <c r="H79" s="89"/>
      <c r="I79" s="89"/>
      <c r="J79" s="115"/>
    </row>
    <row r="80" spans="3:10" x14ac:dyDescent="0.25">
      <c r="C80" s="30"/>
      <c r="D80" s="30"/>
      <c r="E80" s="67"/>
      <c r="F80" s="112"/>
      <c r="G80" s="89"/>
      <c r="H80" s="89"/>
      <c r="I80" s="89"/>
      <c r="J80" s="115"/>
    </row>
    <row r="81" spans="3:10" x14ac:dyDescent="0.25">
      <c r="C81" s="30"/>
      <c r="D81" s="30"/>
      <c r="E81" s="67"/>
      <c r="F81" s="112"/>
      <c r="G81" s="89"/>
      <c r="H81" s="89"/>
      <c r="I81" s="89"/>
      <c r="J81" s="115"/>
    </row>
    <row r="82" spans="3:10" x14ac:dyDescent="0.25">
      <c r="C82" s="30"/>
      <c r="D82" s="30"/>
      <c r="E82" s="67"/>
      <c r="F82" s="112"/>
      <c r="G82" s="89"/>
      <c r="H82" s="89"/>
      <c r="I82" s="89"/>
      <c r="J82" s="115"/>
    </row>
    <row r="83" spans="3:10" x14ac:dyDescent="0.25">
      <c r="C83" s="30"/>
      <c r="D83" s="30"/>
      <c r="E83" s="67"/>
      <c r="F83" s="112"/>
      <c r="G83" s="89"/>
      <c r="H83" s="89"/>
      <c r="I83" s="89"/>
      <c r="J83" s="115"/>
    </row>
    <row r="84" spans="3:10" x14ac:dyDescent="0.25">
      <c r="C84" s="30"/>
      <c r="D84" s="30"/>
      <c r="E84" s="67"/>
      <c r="F84" s="112"/>
      <c r="G84" s="89"/>
      <c r="H84" s="89"/>
      <c r="I84" s="89"/>
      <c r="J84" s="115"/>
    </row>
    <row r="85" spans="3:10" x14ac:dyDescent="0.25">
      <c r="C85" s="30"/>
      <c r="D85" s="30"/>
      <c r="E85" s="67"/>
      <c r="F85" s="112"/>
      <c r="G85" s="89"/>
      <c r="H85" s="89"/>
      <c r="I85" s="89"/>
      <c r="J85" s="115"/>
    </row>
    <row r="86" spans="3:10" x14ac:dyDescent="0.25">
      <c r="C86" s="30"/>
      <c r="D86" s="30"/>
      <c r="E86" s="67"/>
      <c r="F86" s="112"/>
      <c r="G86" s="89"/>
      <c r="H86" s="89"/>
      <c r="I86" s="89"/>
      <c r="J86" s="115"/>
    </row>
    <row r="87" spans="3:10" x14ac:dyDescent="0.25">
      <c r="C87" s="30"/>
      <c r="D87" s="30"/>
      <c r="E87" s="67"/>
      <c r="F87" s="112"/>
      <c r="G87" s="89"/>
      <c r="H87" s="89"/>
      <c r="I87" s="89"/>
      <c r="J87" s="115"/>
    </row>
    <row r="88" spans="3:10" x14ac:dyDescent="0.25">
      <c r="C88" s="30"/>
      <c r="D88" s="30"/>
      <c r="E88" s="67"/>
      <c r="F88" s="112"/>
      <c r="G88" s="89"/>
      <c r="H88" s="89"/>
      <c r="I88" s="89"/>
      <c r="J88" s="115"/>
    </row>
    <row r="89" spans="3:10" x14ac:dyDescent="0.25">
      <c r="C89" s="30"/>
      <c r="D89" s="30"/>
      <c r="E89" s="67"/>
      <c r="F89" s="112"/>
      <c r="G89" s="89"/>
      <c r="H89" s="89"/>
      <c r="I89" s="89"/>
      <c r="J89" s="115"/>
    </row>
    <row r="90" spans="3:10" x14ac:dyDescent="0.25">
      <c r="C90" s="30"/>
      <c r="D90" s="30"/>
      <c r="E90" s="67"/>
      <c r="F90" s="112"/>
      <c r="G90" s="89"/>
      <c r="H90" s="89"/>
      <c r="I90" s="89"/>
      <c r="J90" s="115"/>
    </row>
    <row r="91" spans="3:10" x14ac:dyDescent="0.25">
      <c r="C91" s="30"/>
      <c r="D91" s="30"/>
      <c r="E91" s="67"/>
      <c r="F91" s="112"/>
      <c r="G91" s="89"/>
      <c r="H91" s="89"/>
      <c r="I91" s="89"/>
      <c r="J91" s="115"/>
    </row>
    <row r="92" spans="3:10" x14ac:dyDescent="0.25">
      <c r="C92" s="30"/>
      <c r="D92" s="30"/>
      <c r="E92" s="67"/>
      <c r="F92" s="112"/>
      <c r="G92" s="89"/>
      <c r="H92" s="89"/>
      <c r="I92" s="89"/>
      <c r="J92" s="115"/>
    </row>
    <row r="93" spans="3:10" x14ac:dyDescent="0.25">
      <c r="C93" s="30"/>
      <c r="D93" s="30"/>
      <c r="E93" s="67"/>
      <c r="F93" s="112"/>
      <c r="G93" s="89"/>
      <c r="H93" s="89"/>
      <c r="I93" s="89"/>
      <c r="J93" s="115"/>
    </row>
    <row r="94" spans="3:10" x14ac:dyDescent="0.25">
      <c r="C94" s="30"/>
      <c r="D94" s="30"/>
      <c r="E94" s="67"/>
      <c r="F94" s="112"/>
      <c r="G94" s="89"/>
      <c r="H94" s="89"/>
      <c r="I94" s="89"/>
      <c r="J94" s="115"/>
    </row>
    <row r="95" spans="3:10" x14ac:dyDescent="0.25">
      <c r="C95" s="30"/>
      <c r="D95" s="30"/>
      <c r="E95" s="67"/>
      <c r="F95" s="112"/>
      <c r="G95" s="89"/>
      <c r="H95" s="89"/>
      <c r="I95" s="89"/>
      <c r="J95" s="115"/>
    </row>
    <row r="96" spans="3:10" x14ac:dyDescent="0.25">
      <c r="C96" s="30"/>
      <c r="D96" s="30"/>
      <c r="E96" s="67"/>
      <c r="F96" s="112"/>
      <c r="G96" s="89"/>
      <c r="H96" s="89"/>
      <c r="I96" s="89"/>
      <c r="J96" s="115"/>
    </row>
    <row r="97" spans="3:10" x14ac:dyDescent="0.25">
      <c r="C97" s="30"/>
      <c r="D97" s="30"/>
      <c r="E97" s="67"/>
      <c r="F97" s="112"/>
      <c r="G97" s="89"/>
      <c r="H97" s="89"/>
      <c r="I97" s="89"/>
      <c r="J97" s="115"/>
    </row>
    <row r="98" spans="3:10" x14ac:dyDescent="0.25">
      <c r="C98" s="30"/>
      <c r="D98" s="30"/>
      <c r="E98" s="67"/>
      <c r="F98" s="112"/>
      <c r="G98" s="89"/>
      <c r="H98" s="89"/>
      <c r="I98" s="89"/>
      <c r="J98" s="115"/>
    </row>
    <row r="99" spans="3:10" x14ac:dyDescent="0.25">
      <c r="C99" s="30"/>
      <c r="D99" s="30"/>
      <c r="E99" s="67"/>
      <c r="F99" s="112"/>
      <c r="G99" s="89"/>
      <c r="H99" s="89"/>
      <c r="I99" s="89"/>
      <c r="J99" s="115"/>
    </row>
    <row r="100" spans="3:10" x14ac:dyDescent="0.25">
      <c r="C100" s="30"/>
      <c r="D100" s="30"/>
      <c r="E100" s="67"/>
      <c r="F100" s="112"/>
      <c r="G100" s="89"/>
      <c r="H100" s="89"/>
      <c r="I100" s="89"/>
      <c r="J100" s="115"/>
    </row>
    <row r="101" spans="3:10" x14ac:dyDescent="0.25">
      <c r="C101" s="30"/>
      <c r="D101" s="30"/>
      <c r="E101" s="67"/>
      <c r="F101" s="112"/>
      <c r="G101" s="89"/>
      <c r="H101" s="89"/>
      <c r="I101" s="89"/>
      <c r="J101" s="115"/>
    </row>
    <row r="102" spans="3:10" x14ac:dyDescent="0.25">
      <c r="C102" s="30"/>
      <c r="D102" s="30"/>
      <c r="E102" s="67"/>
      <c r="F102" s="112"/>
      <c r="G102" s="89"/>
      <c r="H102" s="89"/>
      <c r="I102" s="89"/>
      <c r="J102" s="115"/>
    </row>
    <row r="103" spans="3:10" x14ac:dyDescent="0.25">
      <c r="C103" s="30"/>
      <c r="D103" s="30"/>
      <c r="E103" s="67"/>
      <c r="F103" s="112"/>
      <c r="G103" s="89"/>
      <c r="H103" s="89"/>
      <c r="I103" s="89"/>
      <c r="J103" s="115"/>
    </row>
    <row r="104" spans="3:10" x14ac:dyDescent="0.25">
      <c r="C104" s="30"/>
      <c r="D104" s="30"/>
      <c r="E104" s="67"/>
      <c r="F104" s="112"/>
      <c r="G104" s="89"/>
      <c r="H104" s="89"/>
      <c r="I104" s="89"/>
      <c r="J104" s="115"/>
    </row>
    <row r="105" spans="3:10" x14ac:dyDescent="0.25">
      <c r="C105" s="30"/>
      <c r="D105" s="30"/>
      <c r="E105" s="67"/>
      <c r="F105" s="112"/>
      <c r="G105" s="89"/>
      <c r="H105" s="89"/>
      <c r="I105" s="89"/>
      <c r="J105" s="115"/>
    </row>
    <row r="106" spans="3:10" x14ac:dyDescent="0.25">
      <c r="C106" s="30"/>
      <c r="D106" s="30"/>
      <c r="E106" s="67"/>
      <c r="F106" s="112"/>
      <c r="G106" s="89"/>
      <c r="H106" s="89"/>
      <c r="I106" s="89"/>
      <c r="J106" s="115"/>
    </row>
    <row r="107" spans="3:10" x14ac:dyDescent="0.25">
      <c r="C107" s="30"/>
      <c r="D107" s="30"/>
      <c r="E107" s="67"/>
      <c r="F107" s="112"/>
      <c r="G107" s="89"/>
      <c r="H107" s="89"/>
      <c r="I107" s="89"/>
      <c r="J107" s="115"/>
    </row>
    <row r="108" spans="3:10" x14ac:dyDescent="0.25">
      <c r="C108" s="30"/>
      <c r="D108" s="30"/>
      <c r="E108" s="67"/>
      <c r="F108" s="112"/>
      <c r="G108" s="89"/>
      <c r="H108" s="89"/>
      <c r="I108" s="89"/>
      <c r="J108" s="115"/>
    </row>
    <row r="109" spans="3:10" x14ac:dyDescent="0.25">
      <c r="C109" s="30"/>
      <c r="D109" s="30"/>
      <c r="E109" s="67"/>
      <c r="F109" s="112"/>
      <c r="G109" s="89"/>
      <c r="H109" s="89"/>
      <c r="I109" s="89"/>
      <c r="J109" s="115"/>
    </row>
    <row r="110" spans="3:10" x14ac:dyDescent="0.25">
      <c r="C110" s="30"/>
      <c r="D110" s="30"/>
      <c r="E110" s="67"/>
      <c r="F110" s="112"/>
      <c r="G110" s="89"/>
      <c r="H110" s="89"/>
      <c r="I110" s="89"/>
      <c r="J110" s="115"/>
    </row>
    <row r="111" spans="3:10" x14ac:dyDescent="0.25">
      <c r="C111" s="30"/>
      <c r="D111" s="30"/>
      <c r="E111" s="67"/>
      <c r="F111" s="112"/>
      <c r="G111" s="89"/>
      <c r="H111" s="89"/>
      <c r="I111" s="89"/>
      <c r="J111" s="115"/>
    </row>
    <row r="112" spans="3:10" x14ac:dyDescent="0.25">
      <c r="C112" s="30"/>
      <c r="D112" s="30"/>
      <c r="E112" s="67"/>
      <c r="F112" s="112"/>
      <c r="G112" s="89"/>
      <c r="H112" s="89"/>
      <c r="I112" s="89"/>
      <c r="J112" s="115"/>
    </row>
    <row r="113" spans="3:10" x14ac:dyDescent="0.25">
      <c r="C113" s="30"/>
      <c r="D113" s="30"/>
      <c r="E113" s="67"/>
      <c r="F113" s="112"/>
      <c r="G113" s="89"/>
      <c r="H113" s="89"/>
      <c r="I113" s="89"/>
      <c r="J113" s="115"/>
    </row>
    <row r="114" spans="3:10" x14ac:dyDescent="0.25">
      <c r="C114" s="30"/>
      <c r="D114" s="30"/>
      <c r="E114" s="67"/>
      <c r="F114" s="112"/>
      <c r="G114" s="89"/>
      <c r="H114" s="89"/>
      <c r="I114" s="89"/>
      <c r="J114" s="115"/>
    </row>
    <row r="115" spans="3:10" x14ac:dyDescent="0.25">
      <c r="C115" s="30"/>
      <c r="D115" s="30"/>
      <c r="E115" s="67"/>
      <c r="F115" s="112"/>
      <c r="G115" s="89"/>
      <c r="H115" s="89"/>
      <c r="I115" s="89"/>
      <c r="J115" s="115"/>
    </row>
    <row r="116" spans="3:10" x14ac:dyDescent="0.25">
      <c r="C116" s="30"/>
      <c r="D116" s="30"/>
      <c r="E116" s="67"/>
      <c r="F116" s="112"/>
      <c r="G116" s="89"/>
      <c r="H116" s="89"/>
      <c r="I116" s="89"/>
      <c r="J116" s="115"/>
    </row>
    <row r="117" spans="3:10" x14ac:dyDescent="0.25">
      <c r="C117" s="30"/>
      <c r="D117" s="30"/>
      <c r="E117" s="67"/>
      <c r="F117" s="112"/>
      <c r="G117" s="89"/>
      <c r="H117" s="89"/>
      <c r="I117" s="89"/>
      <c r="J117" s="115"/>
    </row>
    <row r="118" spans="3:10" x14ac:dyDescent="0.25">
      <c r="C118" s="30"/>
      <c r="D118" s="30"/>
      <c r="E118" s="67"/>
      <c r="F118" s="112"/>
      <c r="G118" s="89"/>
      <c r="H118" s="89"/>
      <c r="I118" s="89"/>
      <c r="J118" s="115"/>
    </row>
    <row r="119" spans="3:10" x14ac:dyDescent="0.25">
      <c r="C119" s="30"/>
      <c r="D119" s="30"/>
      <c r="E119" s="67"/>
      <c r="F119" s="112"/>
      <c r="G119" s="89"/>
      <c r="H119" s="89"/>
      <c r="I119" s="89"/>
      <c r="J119" s="115"/>
    </row>
    <row r="120" spans="3:10" x14ac:dyDescent="0.25">
      <c r="C120" s="30"/>
      <c r="D120" s="30"/>
      <c r="E120" s="67"/>
      <c r="F120" s="112"/>
      <c r="G120" s="89"/>
      <c r="H120" s="89"/>
      <c r="I120" s="89"/>
      <c r="J120" s="115"/>
    </row>
    <row r="121" spans="3:10" x14ac:dyDescent="0.25">
      <c r="C121" s="30"/>
      <c r="D121" s="30"/>
      <c r="E121" s="67"/>
      <c r="F121" s="112"/>
      <c r="G121" s="89"/>
      <c r="H121" s="89"/>
      <c r="I121" s="89"/>
      <c r="J121" s="115"/>
    </row>
    <row r="122" spans="3:10" x14ac:dyDescent="0.25">
      <c r="C122" s="30"/>
      <c r="D122" s="30"/>
      <c r="E122" s="67"/>
      <c r="F122" s="112"/>
      <c r="G122" s="89"/>
      <c r="H122" s="89"/>
      <c r="I122" s="89"/>
      <c r="J122" s="115"/>
    </row>
    <row r="123" spans="3:10" x14ac:dyDescent="0.25">
      <c r="C123" s="30"/>
      <c r="D123" s="30"/>
      <c r="E123" s="67"/>
      <c r="F123" s="112"/>
      <c r="G123" s="89"/>
      <c r="H123" s="89"/>
      <c r="I123" s="89"/>
      <c r="J123" s="115"/>
    </row>
    <row r="124" spans="3:10" x14ac:dyDescent="0.25">
      <c r="C124" s="30"/>
      <c r="D124" s="30"/>
      <c r="E124" s="67"/>
      <c r="F124" s="112"/>
      <c r="G124" s="89"/>
      <c r="H124" s="89"/>
      <c r="I124" s="89"/>
      <c r="J124" s="115"/>
    </row>
    <row r="125" spans="3:10" x14ac:dyDescent="0.25">
      <c r="C125" s="30"/>
      <c r="D125" s="30"/>
      <c r="E125" s="67"/>
      <c r="F125" s="112"/>
      <c r="G125" s="89"/>
      <c r="H125" s="89"/>
      <c r="I125" s="89"/>
      <c r="J125" s="115"/>
    </row>
    <row r="126" spans="3:10" x14ac:dyDescent="0.25">
      <c r="C126" s="30"/>
      <c r="D126" s="30"/>
      <c r="E126" s="67"/>
      <c r="F126" s="112"/>
      <c r="G126" s="89"/>
      <c r="H126" s="89"/>
      <c r="I126" s="89"/>
      <c r="J126" s="115"/>
    </row>
    <row r="127" spans="3:10" x14ac:dyDescent="0.25">
      <c r="C127" s="30"/>
      <c r="D127" s="30"/>
      <c r="E127" s="67"/>
      <c r="F127" s="112"/>
      <c r="G127" s="89"/>
      <c r="H127" s="89"/>
      <c r="I127" s="89"/>
      <c r="J127" s="115"/>
    </row>
    <row r="128" spans="3:10" x14ac:dyDescent="0.25">
      <c r="C128" s="30"/>
      <c r="D128" s="30"/>
      <c r="E128" s="67"/>
      <c r="F128" s="112"/>
      <c r="G128" s="89"/>
      <c r="H128" s="89"/>
      <c r="I128" s="89"/>
      <c r="J128" s="115"/>
    </row>
    <row r="129" spans="3:10" x14ac:dyDescent="0.25">
      <c r="C129" s="30"/>
      <c r="D129" s="30"/>
      <c r="E129" s="67"/>
      <c r="F129" s="112"/>
      <c r="G129" s="89"/>
      <c r="H129" s="89"/>
      <c r="I129" s="89"/>
      <c r="J129" s="115"/>
    </row>
    <row r="130" spans="3:10" x14ac:dyDescent="0.25">
      <c r="C130" s="30"/>
      <c r="D130" s="30"/>
      <c r="E130" s="67"/>
      <c r="F130" s="112"/>
      <c r="G130" s="89"/>
      <c r="H130" s="89"/>
      <c r="I130" s="89"/>
      <c r="J130" s="115"/>
    </row>
    <row r="131" spans="3:10" x14ac:dyDescent="0.25">
      <c r="C131" s="30"/>
      <c r="D131" s="30"/>
      <c r="E131" s="67"/>
      <c r="F131" s="112"/>
      <c r="G131" s="89"/>
      <c r="H131" s="89"/>
      <c r="I131" s="89"/>
      <c r="J131" s="115"/>
    </row>
    <row r="132" spans="3:10" x14ac:dyDescent="0.25">
      <c r="C132" s="30"/>
      <c r="D132" s="30"/>
      <c r="E132" s="67"/>
      <c r="F132" s="112"/>
      <c r="G132" s="89"/>
      <c r="H132" s="89"/>
      <c r="I132" s="89"/>
      <c r="J132" s="115"/>
    </row>
    <row r="133" spans="3:10" x14ac:dyDescent="0.25">
      <c r="C133" s="30"/>
      <c r="D133" s="30"/>
      <c r="E133" s="67"/>
      <c r="F133" s="112"/>
      <c r="G133" s="89"/>
      <c r="H133" s="89"/>
      <c r="I133" s="89"/>
      <c r="J133" s="115"/>
    </row>
    <row r="134" spans="3:10" x14ac:dyDescent="0.25">
      <c r="C134" s="30"/>
      <c r="D134" s="30"/>
      <c r="E134" s="67"/>
      <c r="F134" s="112"/>
      <c r="G134" s="89"/>
      <c r="H134" s="89"/>
      <c r="I134" s="89"/>
      <c r="J134" s="115"/>
    </row>
    <row r="135" spans="3:10" x14ac:dyDescent="0.25">
      <c r="C135" s="30"/>
      <c r="D135" s="30"/>
      <c r="E135" s="67"/>
      <c r="F135" s="112"/>
      <c r="G135" s="89"/>
      <c r="H135" s="89"/>
      <c r="I135" s="89"/>
      <c r="J135" s="115"/>
    </row>
    <row r="136" spans="3:10" x14ac:dyDescent="0.25">
      <c r="C136" s="30"/>
      <c r="D136" s="30"/>
      <c r="E136" s="67"/>
      <c r="F136" s="112"/>
      <c r="G136" s="89"/>
      <c r="H136" s="89"/>
      <c r="I136" s="89"/>
      <c r="J136" s="115"/>
    </row>
    <row r="137" spans="3:10" x14ac:dyDescent="0.25">
      <c r="C137" s="30"/>
      <c r="D137" s="30"/>
      <c r="E137" s="67"/>
      <c r="F137" s="112"/>
      <c r="G137" s="89"/>
      <c r="H137" s="89"/>
      <c r="I137" s="89"/>
      <c r="J137" s="115"/>
    </row>
    <row r="138" spans="3:10" x14ac:dyDescent="0.25">
      <c r="C138" s="30"/>
      <c r="D138" s="30"/>
      <c r="E138" s="67"/>
      <c r="F138" s="112"/>
      <c r="G138" s="89"/>
      <c r="H138" s="89"/>
      <c r="I138" s="89"/>
      <c r="J138" s="115"/>
    </row>
    <row r="139" spans="3:10" x14ac:dyDescent="0.25">
      <c r="C139" s="30"/>
      <c r="D139" s="30"/>
      <c r="E139" s="67"/>
      <c r="F139" s="112"/>
      <c r="G139" s="89"/>
      <c r="H139" s="89"/>
      <c r="I139" s="89"/>
      <c r="J139" s="115"/>
    </row>
    <row r="140" spans="3:10" x14ac:dyDescent="0.25">
      <c r="C140" s="30"/>
      <c r="D140" s="30"/>
      <c r="E140" s="67"/>
      <c r="F140" s="112"/>
      <c r="G140" s="89"/>
      <c r="H140" s="89"/>
      <c r="I140" s="89"/>
      <c r="J140" s="115"/>
    </row>
    <row r="141" spans="3:10" x14ac:dyDescent="0.25">
      <c r="C141" s="30"/>
      <c r="D141" s="30"/>
      <c r="E141" s="67"/>
      <c r="F141" s="112"/>
      <c r="G141" s="89"/>
      <c r="H141" s="89"/>
      <c r="I141" s="89"/>
      <c r="J141" s="115"/>
    </row>
    <row r="142" spans="3:10" x14ac:dyDescent="0.25">
      <c r="C142" s="30"/>
      <c r="D142" s="30"/>
      <c r="E142" s="67"/>
      <c r="F142" s="112"/>
      <c r="G142" s="89"/>
      <c r="H142" s="89"/>
      <c r="I142" s="89"/>
      <c r="J142" s="115"/>
    </row>
    <row r="143" spans="3:10" x14ac:dyDescent="0.25">
      <c r="C143" s="30"/>
      <c r="D143" s="30"/>
      <c r="E143" s="67"/>
      <c r="F143" s="112"/>
      <c r="G143" s="89"/>
      <c r="H143" s="89"/>
      <c r="I143" s="89"/>
      <c r="J143" s="115"/>
    </row>
    <row r="144" spans="3:10" x14ac:dyDescent="0.25">
      <c r="C144" s="30"/>
      <c r="D144" s="30"/>
      <c r="E144" s="67"/>
      <c r="F144" s="112"/>
      <c r="G144" s="89"/>
      <c r="H144" s="89"/>
      <c r="I144" s="89"/>
      <c r="J144" s="115"/>
    </row>
    <row r="145" spans="3:10" x14ac:dyDescent="0.25">
      <c r="C145" s="30"/>
      <c r="D145" s="30"/>
      <c r="E145" s="67"/>
      <c r="F145" s="112"/>
      <c r="G145" s="89"/>
      <c r="H145" s="89"/>
      <c r="I145" s="89"/>
      <c r="J145" s="115"/>
    </row>
    <row r="146" spans="3:10" x14ac:dyDescent="0.25">
      <c r="C146" s="30"/>
      <c r="D146" s="30"/>
      <c r="E146" s="67"/>
      <c r="F146" s="112"/>
      <c r="G146" s="89"/>
      <c r="H146" s="89"/>
      <c r="I146" s="89"/>
      <c r="J146" s="115"/>
    </row>
    <row r="147" spans="3:10" x14ac:dyDescent="0.25">
      <c r="C147" s="30"/>
      <c r="D147" s="30"/>
      <c r="E147" s="67"/>
      <c r="F147" s="112"/>
      <c r="G147" s="89"/>
      <c r="H147" s="89"/>
      <c r="I147" s="89"/>
      <c r="J147" s="115"/>
    </row>
    <row r="148" spans="3:10" x14ac:dyDescent="0.25">
      <c r="C148" s="30"/>
      <c r="D148" s="30"/>
      <c r="E148" s="67"/>
      <c r="F148" s="112"/>
      <c r="G148" s="89"/>
      <c r="H148" s="89"/>
      <c r="I148" s="89"/>
      <c r="J148" s="115"/>
    </row>
    <row r="149" spans="3:10" x14ac:dyDescent="0.25">
      <c r="C149" s="30"/>
      <c r="D149" s="30"/>
      <c r="E149" s="67"/>
      <c r="F149" s="112"/>
      <c r="G149" s="89"/>
      <c r="H149" s="89"/>
      <c r="I149" s="89"/>
      <c r="J149" s="115"/>
    </row>
    <row r="150" spans="3:10" x14ac:dyDescent="0.25">
      <c r="C150" s="30"/>
      <c r="D150" s="30"/>
      <c r="E150" s="67"/>
      <c r="F150" s="112"/>
      <c r="G150" s="89"/>
      <c r="H150" s="89"/>
      <c r="I150" s="89"/>
      <c r="J150" s="115"/>
    </row>
    <row r="151" spans="3:10" x14ac:dyDescent="0.25">
      <c r="C151" s="30"/>
      <c r="D151" s="30"/>
      <c r="E151" s="67"/>
      <c r="F151" s="112"/>
      <c r="G151" s="89"/>
      <c r="H151" s="89"/>
      <c r="I151" s="89"/>
      <c r="J151" s="115"/>
    </row>
    <row r="152" spans="3:10" x14ac:dyDescent="0.25">
      <c r="C152" s="30"/>
      <c r="D152" s="30"/>
      <c r="E152" s="67"/>
      <c r="F152" s="112"/>
      <c r="G152" s="89"/>
      <c r="H152" s="89"/>
      <c r="I152" s="89"/>
      <c r="J152" s="115"/>
    </row>
    <row r="153" spans="3:10" x14ac:dyDescent="0.25">
      <c r="C153" s="30"/>
      <c r="D153" s="30"/>
      <c r="E153" s="67"/>
      <c r="F153" s="112"/>
      <c r="G153" s="89"/>
      <c r="H153" s="89"/>
      <c r="I153" s="89"/>
      <c r="J153" s="115"/>
    </row>
    <row r="154" spans="3:10" x14ac:dyDescent="0.25">
      <c r="C154" s="30"/>
      <c r="D154" s="30"/>
      <c r="E154" s="67"/>
      <c r="F154" s="112"/>
      <c r="G154" s="89"/>
      <c r="H154" s="89"/>
      <c r="I154" s="89"/>
      <c r="J154" s="115"/>
    </row>
    <row r="155" spans="3:10" x14ac:dyDescent="0.25">
      <c r="C155" s="30"/>
      <c r="D155" s="30"/>
      <c r="E155" s="67"/>
      <c r="F155" s="112"/>
      <c r="G155" s="89"/>
      <c r="H155" s="89"/>
      <c r="I155" s="89"/>
      <c r="J155" s="115"/>
    </row>
    <row r="156" spans="3:10" x14ac:dyDescent="0.25">
      <c r="C156" s="30"/>
      <c r="D156" s="30"/>
      <c r="E156" s="67"/>
      <c r="F156" s="112"/>
      <c r="G156" s="89"/>
      <c r="H156" s="89"/>
      <c r="I156" s="89"/>
      <c r="J156" s="115"/>
    </row>
    <row r="157" spans="3:10" x14ac:dyDescent="0.25">
      <c r="C157" s="30"/>
      <c r="D157" s="30"/>
      <c r="E157" s="67"/>
      <c r="F157" s="112"/>
      <c r="G157" s="89"/>
      <c r="H157" s="89"/>
      <c r="I157" s="89"/>
      <c r="J157" s="115"/>
    </row>
    <row r="158" spans="3:10" x14ac:dyDescent="0.25">
      <c r="C158" s="30"/>
      <c r="D158" s="30"/>
      <c r="E158" s="67"/>
      <c r="F158" s="112"/>
      <c r="G158" s="89"/>
      <c r="H158" s="89"/>
      <c r="I158" s="89"/>
      <c r="J158" s="115"/>
    </row>
    <row r="159" spans="3:10" x14ac:dyDescent="0.25">
      <c r="C159" s="30"/>
      <c r="D159" s="30"/>
      <c r="E159" s="67"/>
      <c r="F159" s="112"/>
      <c r="G159" s="89"/>
      <c r="H159" s="89"/>
      <c r="I159" s="89"/>
      <c r="J159" s="115"/>
    </row>
    <row r="160" spans="3:10" x14ac:dyDescent="0.25">
      <c r="C160" s="30"/>
      <c r="D160" s="30"/>
      <c r="E160" s="67"/>
      <c r="F160" s="112"/>
      <c r="G160" s="89"/>
      <c r="H160" s="89"/>
      <c r="I160" s="89"/>
      <c r="J160" s="115"/>
    </row>
    <row r="161" spans="3:10" x14ac:dyDescent="0.25">
      <c r="C161" s="30"/>
      <c r="D161" s="30"/>
      <c r="E161" s="67"/>
      <c r="F161" s="112"/>
      <c r="G161" s="89"/>
      <c r="H161" s="89"/>
      <c r="I161" s="89"/>
      <c r="J161" s="115"/>
    </row>
    <row r="162" spans="3:10" x14ac:dyDescent="0.25">
      <c r="C162" s="30"/>
      <c r="D162" s="30"/>
      <c r="E162" s="67"/>
      <c r="F162" s="112"/>
      <c r="G162" s="89"/>
      <c r="H162" s="89"/>
      <c r="I162" s="89"/>
      <c r="J162" s="115"/>
    </row>
    <row r="163" spans="3:10" x14ac:dyDescent="0.25">
      <c r="C163" s="30"/>
      <c r="D163" s="30"/>
      <c r="E163" s="67"/>
      <c r="F163" s="112"/>
      <c r="G163" s="89"/>
      <c r="H163" s="89"/>
      <c r="I163" s="89"/>
      <c r="J163" s="115"/>
    </row>
    <row r="164" spans="3:10" x14ac:dyDescent="0.25">
      <c r="C164" s="30"/>
      <c r="D164" s="30"/>
      <c r="E164" s="67"/>
      <c r="F164" s="112"/>
      <c r="G164" s="89"/>
      <c r="H164" s="89"/>
      <c r="I164" s="89"/>
      <c r="J164" s="115"/>
    </row>
    <row r="165" spans="3:10" x14ac:dyDescent="0.25">
      <c r="C165" s="30"/>
      <c r="D165" s="30"/>
      <c r="E165" s="67"/>
      <c r="F165" s="112"/>
      <c r="G165" s="89"/>
      <c r="H165" s="89"/>
      <c r="I165" s="89"/>
      <c r="J165" s="115"/>
    </row>
    <row r="166" spans="3:10" x14ac:dyDescent="0.25">
      <c r="C166" s="30"/>
      <c r="D166" s="30"/>
      <c r="E166" s="67"/>
      <c r="F166" s="112"/>
      <c r="G166" s="89"/>
      <c r="H166" s="89"/>
      <c r="I166" s="89"/>
      <c r="J166" s="115"/>
    </row>
    <row r="167" spans="3:10" x14ac:dyDescent="0.25">
      <c r="C167" s="30"/>
      <c r="D167" s="30"/>
      <c r="E167" s="67"/>
      <c r="F167" s="112"/>
      <c r="G167" s="89"/>
      <c r="H167" s="89"/>
      <c r="I167" s="89"/>
      <c r="J167" s="115"/>
    </row>
    <row r="168" spans="3:10" x14ac:dyDescent="0.25">
      <c r="C168" s="30"/>
      <c r="D168" s="30"/>
      <c r="E168" s="67"/>
      <c r="F168" s="112"/>
      <c r="G168" s="89"/>
      <c r="H168" s="89"/>
      <c r="I168" s="89"/>
      <c r="J168" s="115"/>
    </row>
    <row r="169" spans="3:10" x14ac:dyDescent="0.25">
      <c r="C169" s="30"/>
      <c r="D169" s="30"/>
      <c r="E169" s="67"/>
      <c r="F169" s="112"/>
      <c r="G169" s="89"/>
      <c r="H169" s="89"/>
      <c r="I169" s="89"/>
      <c r="J169" s="115"/>
    </row>
    <row r="170" spans="3:10" x14ac:dyDescent="0.25">
      <c r="C170" s="30"/>
      <c r="D170" s="30"/>
      <c r="E170" s="67"/>
      <c r="F170" s="112"/>
      <c r="G170" s="89"/>
      <c r="H170" s="89"/>
      <c r="I170" s="89"/>
      <c r="J170" s="115"/>
    </row>
    <row r="171" spans="3:10" x14ac:dyDescent="0.25">
      <c r="C171" s="30"/>
      <c r="D171" s="30"/>
      <c r="E171" s="67"/>
      <c r="F171" s="112"/>
      <c r="G171" s="89"/>
      <c r="H171" s="89"/>
      <c r="I171" s="89"/>
      <c r="J171" s="115"/>
    </row>
    <row r="172" spans="3:10" x14ac:dyDescent="0.25">
      <c r="C172" s="30"/>
      <c r="D172" s="30"/>
      <c r="E172" s="67"/>
      <c r="F172" s="112"/>
      <c r="G172" s="89"/>
      <c r="H172" s="89"/>
      <c r="I172" s="89"/>
      <c r="J172" s="115"/>
    </row>
    <row r="173" spans="3:10" x14ac:dyDescent="0.25">
      <c r="C173" s="30"/>
      <c r="D173" s="30"/>
      <c r="E173" s="67"/>
      <c r="F173" s="112"/>
      <c r="G173" s="89"/>
      <c r="H173" s="89"/>
      <c r="I173" s="89"/>
      <c r="J173" s="115"/>
    </row>
    <row r="174" spans="3:10" x14ac:dyDescent="0.25">
      <c r="C174" s="30"/>
      <c r="D174" s="30"/>
      <c r="E174" s="67"/>
      <c r="F174" s="112"/>
      <c r="G174" s="89"/>
      <c r="H174" s="89"/>
      <c r="I174" s="89"/>
      <c r="J174" s="115"/>
    </row>
    <row r="175" spans="3:10" x14ac:dyDescent="0.25">
      <c r="C175" s="30"/>
      <c r="D175" s="30"/>
      <c r="E175" s="67"/>
      <c r="F175" s="112"/>
      <c r="G175" s="89"/>
      <c r="H175" s="89"/>
      <c r="I175" s="89"/>
      <c r="J175" s="115"/>
    </row>
    <row r="176" spans="3:10" x14ac:dyDescent="0.25">
      <c r="C176" s="30"/>
      <c r="D176" s="30"/>
      <c r="E176" s="67"/>
      <c r="F176" s="112"/>
      <c r="G176" s="89"/>
      <c r="H176" s="89"/>
      <c r="I176" s="89"/>
      <c r="J176" s="115"/>
    </row>
    <row r="177" spans="3:10" x14ac:dyDescent="0.25">
      <c r="C177" s="30"/>
      <c r="D177" s="30"/>
      <c r="E177" s="67"/>
      <c r="F177" s="112"/>
      <c r="G177" s="89"/>
      <c r="H177" s="89"/>
      <c r="I177" s="89"/>
      <c r="J177" s="115"/>
    </row>
    <row r="178" spans="3:10" x14ac:dyDescent="0.25">
      <c r="C178" s="30"/>
      <c r="D178" s="30"/>
      <c r="E178" s="67"/>
      <c r="F178" s="112"/>
      <c r="G178" s="89"/>
      <c r="H178" s="89"/>
      <c r="I178" s="89"/>
      <c r="J178" s="115"/>
    </row>
    <row r="179" spans="3:10" x14ac:dyDescent="0.25">
      <c r="C179" s="30"/>
      <c r="D179" s="30"/>
      <c r="E179" s="67"/>
      <c r="F179" s="112"/>
      <c r="G179" s="89"/>
      <c r="H179" s="89"/>
      <c r="I179" s="89"/>
      <c r="J179" s="115"/>
    </row>
    <row r="180" spans="3:10" x14ac:dyDescent="0.25">
      <c r="C180" s="30"/>
      <c r="D180" s="30"/>
      <c r="E180" s="67"/>
      <c r="F180" s="112"/>
      <c r="G180" s="89"/>
      <c r="H180" s="89"/>
      <c r="I180" s="89"/>
      <c r="J180" s="115"/>
    </row>
    <row r="181" spans="3:10" x14ac:dyDescent="0.25">
      <c r="C181" s="30"/>
      <c r="D181" s="30"/>
      <c r="E181" s="67"/>
      <c r="F181" s="112"/>
      <c r="G181" s="89"/>
      <c r="H181" s="89"/>
      <c r="I181" s="89"/>
      <c r="J181" s="115"/>
    </row>
    <row r="182" spans="3:10" x14ac:dyDescent="0.25">
      <c r="C182" s="30"/>
      <c r="D182" s="30"/>
      <c r="E182" s="67"/>
      <c r="F182" s="112"/>
      <c r="G182" s="89"/>
      <c r="H182" s="89"/>
      <c r="I182" s="89"/>
      <c r="J182" s="115"/>
    </row>
    <row r="183" spans="3:10" x14ac:dyDescent="0.25">
      <c r="C183" s="30"/>
      <c r="D183" s="30"/>
      <c r="E183" s="67"/>
      <c r="F183" s="112"/>
      <c r="G183" s="89"/>
      <c r="H183" s="89"/>
      <c r="I183" s="89"/>
      <c r="J183" s="115"/>
    </row>
    <row r="184" spans="3:10" x14ac:dyDescent="0.25">
      <c r="C184" s="30"/>
      <c r="D184" s="30"/>
      <c r="E184" s="67"/>
      <c r="F184" s="112"/>
      <c r="G184" s="89"/>
      <c r="H184" s="89"/>
      <c r="I184" s="89"/>
      <c r="J184" s="115"/>
    </row>
    <row r="185" spans="3:10" x14ac:dyDescent="0.25">
      <c r="C185" s="30"/>
      <c r="D185" s="30"/>
      <c r="E185" s="67"/>
      <c r="F185" s="112"/>
      <c r="G185" s="89"/>
      <c r="H185" s="89"/>
      <c r="I185" s="89"/>
      <c r="J185" s="115"/>
    </row>
    <row r="186" spans="3:10" x14ac:dyDescent="0.25">
      <c r="C186" s="30"/>
      <c r="D186" s="30"/>
      <c r="E186" s="67"/>
      <c r="F186" s="112"/>
      <c r="G186" s="89"/>
      <c r="H186" s="89"/>
      <c r="I186" s="89"/>
      <c r="J186" s="115"/>
    </row>
    <row r="187" spans="3:10" x14ac:dyDescent="0.25">
      <c r="C187" s="30"/>
      <c r="D187" s="30"/>
      <c r="E187" s="67"/>
      <c r="F187" s="112"/>
      <c r="G187" s="89"/>
      <c r="H187" s="89"/>
      <c r="I187" s="89"/>
      <c r="J187" s="115"/>
    </row>
    <row r="188" spans="3:10" x14ac:dyDescent="0.25">
      <c r="C188" s="30"/>
      <c r="D188" s="30"/>
      <c r="E188" s="67"/>
      <c r="F188" s="112"/>
      <c r="G188" s="89"/>
      <c r="H188" s="89"/>
      <c r="I188" s="89"/>
      <c r="J188" s="115"/>
    </row>
    <row r="189" spans="3:10" x14ac:dyDescent="0.25">
      <c r="C189" s="30"/>
      <c r="D189" s="30"/>
      <c r="E189" s="67"/>
      <c r="F189" s="112"/>
      <c r="G189" s="89"/>
      <c r="H189" s="89"/>
      <c r="I189" s="89"/>
      <c r="J189" s="115"/>
    </row>
    <row r="190" spans="3:10" x14ac:dyDescent="0.25">
      <c r="C190" s="30"/>
      <c r="D190" s="30"/>
      <c r="E190" s="67"/>
      <c r="F190" s="112"/>
      <c r="G190" s="89"/>
      <c r="H190" s="89"/>
      <c r="I190" s="89"/>
      <c r="J190" s="115"/>
    </row>
    <row r="191" spans="3:10" x14ac:dyDescent="0.25">
      <c r="C191" s="30"/>
      <c r="D191" s="30"/>
      <c r="E191" s="67"/>
      <c r="F191" s="112"/>
      <c r="G191" s="89"/>
      <c r="H191" s="89"/>
      <c r="I191" s="89"/>
      <c r="J191" s="115"/>
    </row>
    <row r="192" spans="3:10" x14ac:dyDescent="0.25">
      <c r="C192" s="30"/>
      <c r="D192" s="30"/>
      <c r="E192" s="67"/>
      <c r="F192" s="112"/>
      <c r="G192" s="89"/>
      <c r="H192" s="89"/>
      <c r="I192" s="89"/>
      <c r="J192" s="115"/>
    </row>
    <row r="193" spans="3:10" x14ac:dyDescent="0.25">
      <c r="C193" s="30"/>
      <c r="D193" s="30"/>
      <c r="E193" s="67"/>
      <c r="F193" s="112"/>
      <c r="G193" s="89"/>
      <c r="H193" s="89"/>
      <c r="I193" s="89"/>
      <c r="J193" s="115"/>
    </row>
    <row r="194" spans="3:10" x14ac:dyDescent="0.25">
      <c r="C194" s="30"/>
      <c r="D194" s="30"/>
      <c r="E194" s="67"/>
      <c r="F194" s="112"/>
      <c r="G194" s="89"/>
      <c r="H194" s="89"/>
      <c r="I194" s="89"/>
      <c r="J194" s="115"/>
    </row>
    <row r="195" spans="3:10" x14ac:dyDescent="0.25">
      <c r="C195" s="30"/>
      <c r="D195" s="30"/>
      <c r="E195" s="67"/>
      <c r="F195" s="112"/>
      <c r="G195" s="89"/>
      <c r="H195" s="89"/>
      <c r="I195" s="89"/>
      <c r="J195" s="115"/>
    </row>
    <row r="196" spans="3:10" x14ac:dyDescent="0.25">
      <c r="C196" s="30"/>
      <c r="D196" s="30"/>
      <c r="E196" s="67"/>
      <c r="F196" s="112"/>
      <c r="G196" s="89"/>
      <c r="H196" s="89"/>
      <c r="I196" s="89"/>
      <c r="J196" s="115"/>
    </row>
    <row r="197" spans="3:10" x14ac:dyDescent="0.25">
      <c r="C197" s="30"/>
      <c r="D197" s="30"/>
      <c r="E197" s="67"/>
      <c r="F197" s="112"/>
      <c r="G197" s="89"/>
      <c r="H197" s="89"/>
      <c r="I197" s="89"/>
      <c r="J197" s="115"/>
    </row>
    <row r="198" spans="3:10" x14ac:dyDescent="0.25">
      <c r="C198" s="30"/>
      <c r="D198" s="30"/>
      <c r="E198" s="67"/>
      <c r="F198" s="112"/>
      <c r="G198" s="89"/>
      <c r="H198" s="89"/>
      <c r="I198" s="89"/>
      <c r="J198" s="115"/>
    </row>
    <row r="199" spans="3:10" x14ac:dyDescent="0.25">
      <c r="C199" s="30"/>
      <c r="D199" s="30"/>
      <c r="E199" s="67"/>
      <c r="F199" s="112"/>
      <c r="G199" s="89"/>
      <c r="H199" s="89"/>
      <c r="I199" s="89"/>
      <c r="J199" s="115"/>
    </row>
    <row r="200" spans="3:10" x14ac:dyDescent="0.25">
      <c r="C200" s="30"/>
      <c r="D200" s="30"/>
      <c r="E200" s="67"/>
      <c r="F200" s="112"/>
      <c r="G200" s="89"/>
      <c r="H200" s="89"/>
      <c r="I200" s="89"/>
      <c r="J200" s="115"/>
    </row>
    <row r="201" spans="3:10" x14ac:dyDescent="0.25">
      <c r="C201" s="30"/>
      <c r="D201" s="30"/>
      <c r="E201" s="67"/>
      <c r="F201" s="112"/>
      <c r="G201" s="89"/>
      <c r="H201" s="89"/>
      <c r="I201" s="89"/>
      <c r="J201" s="115"/>
    </row>
    <row r="202" spans="3:10" x14ac:dyDescent="0.25">
      <c r="C202" s="30"/>
      <c r="D202" s="30"/>
      <c r="E202" s="67"/>
      <c r="F202" s="112"/>
      <c r="G202" s="89"/>
      <c r="H202" s="89"/>
      <c r="I202" s="89"/>
      <c r="J202" s="115"/>
    </row>
    <row r="203" spans="3:10" x14ac:dyDescent="0.25">
      <c r="C203" s="30"/>
      <c r="D203" s="30"/>
      <c r="E203" s="67"/>
      <c r="F203" s="112"/>
      <c r="G203" s="89"/>
      <c r="H203" s="89"/>
      <c r="I203" s="89"/>
      <c r="J203" s="115"/>
    </row>
    <row r="204" spans="3:10" x14ac:dyDescent="0.25">
      <c r="C204" s="30"/>
      <c r="D204" s="30"/>
      <c r="E204" s="67"/>
      <c r="F204" s="112"/>
      <c r="G204" s="89"/>
      <c r="H204" s="89"/>
      <c r="I204" s="89"/>
      <c r="J204" s="115"/>
    </row>
    <row r="205" spans="3:10" x14ac:dyDescent="0.25">
      <c r="C205" s="30"/>
      <c r="D205" s="30"/>
      <c r="E205" s="67"/>
      <c r="F205" s="112"/>
      <c r="G205" s="89"/>
      <c r="H205" s="89"/>
      <c r="I205" s="89"/>
      <c r="J205" s="115"/>
    </row>
    <row r="206" spans="3:10" x14ac:dyDescent="0.25">
      <c r="C206" s="30"/>
      <c r="D206" s="30"/>
      <c r="E206" s="67"/>
      <c r="F206" s="112"/>
      <c r="G206" s="89"/>
      <c r="H206" s="89"/>
      <c r="I206" s="89"/>
      <c r="J206" s="115"/>
    </row>
    <row r="207" spans="3:10" x14ac:dyDescent="0.25">
      <c r="C207" s="30"/>
      <c r="D207" s="30"/>
      <c r="E207" s="67"/>
      <c r="F207" s="112"/>
      <c r="G207" s="89"/>
      <c r="H207" s="89"/>
      <c r="I207" s="89"/>
      <c r="J207" s="115"/>
    </row>
    <row r="208" spans="3:10" x14ac:dyDescent="0.25">
      <c r="C208" s="30"/>
      <c r="D208" s="30"/>
      <c r="E208" s="67"/>
      <c r="F208" s="112"/>
      <c r="G208" s="89"/>
      <c r="H208" s="89"/>
      <c r="I208" s="89"/>
      <c r="J208" s="115"/>
    </row>
    <row r="209" spans="3:10" x14ac:dyDescent="0.25">
      <c r="C209" s="30"/>
      <c r="D209" s="30"/>
      <c r="E209" s="67"/>
      <c r="F209" s="112"/>
      <c r="G209" s="89"/>
      <c r="H209" s="89"/>
      <c r="I209" s="89"/>
      <c r="J209" s="1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71"/>
  <sheetViews>
    <sheetView showGridLines="0" workbookViewId="0"/>
  </sheetViews>
  <sheetFormatPr defaultRowHeight="15" x14ac:dyDescent="0.25"/>
  <cols>
    <col min="1" max="1" width="13.5703125" customWidth="1"/>
    <col min="2" max="2" width="14.42578125" bestFit="1" customWidth="1"/>
    <col min="3" max="3" width="12.140625" customWidth="1"/>
    <col min="4" max="4" width="5.42578125" style="81" bestFit="1" customWidth="1"/>
    <col min="5" max="5" width="8.5703125" bestFit="1" customWidth="1"/>
    <col min="6" max="6" width="15.42578125" bestFit="1" customWidth="1"/>
  </cols>
  <sheetData>
    <row r="1" spans="1:13" x14ac:dyDescent="0.25">
      <c r="A1" s="15" t="s">
        <v>897</v>
      </c>
    </row>
    <row r="2" spans="1:13" s="81" customFormat="1" x14ac:dyDescent="0.25"/>
    <row r="3" spans="1:13" s="81" customFormat="1" x14ac:dyDescent="0.25">
      <c r="A3" s="85" t="s">
        <v>922</v>
      </c>
    </row>
    <row r="4" spans="1:13" s="81" customFormat="1" x14ac:dyDescent="0.25">
      <c r="A4" s="49" t="s">
        <v>339</v>
      </c>
    </row>
    <row r="5" spans="1:13" s="81" customFormat="1" x14ac:dyDescent="0.25">
      <c r="A5" s="49" t="s">
        <v>921</v>
      </c>
    </row>
    <row r="6" spans="1:13" s="81" customFormat="1" x14ac:dyDescent="0.25">
      <c r="A6" s="86" t="s">
        <v>952</v>
      </c>
    </row>
    <row r="7" spans="1:13" s="81" customFormat="1" x14ac:dyDescent="0.25"/>
    <row r="8" spans="1:13" x14ac:dyDescent="0.25">
      <c r="A8" s="119" t="s">
        <v>892</v>
      </c>
      <c r="B8" s="119" t="s">
        <v>893</v>
      </c>
      <c r="C8" s="119" t="s">
        <v>10</v>
      </c>
      <c r="D8" s="119" t="s">
        <v>9</v>
      </c>
      <c r="E8" s="119" t="s">
        <v>888</v>
      </c>
      <c r="F8" s="119" t="s">
        <v>894</v>
      </c>
      <c r="H8" s="81"/>
      <c r="I8" s="81"/>
      <c r="J8" s="81"/>
      <c r="K8" s="81"/>
      <c r="L8" s="81"/>
      <c r="M8" s="81"/>
    </row>
    <row r="9" spans="1:13" x14ac:dyDescent="0.25">
      <c r="A9" s="120" t="s">
        <v>951</v>
      </c>
      <c r="B9" s="120" t="s">
        <v>951</v>
      </c>
      <c r="C9" s="120" t="s">
        <v>12</v>
      </c>
      <c r="D9" s="120" t="s">
        <v>36</v>
      </c>
      <c r="E9" s="120" t="s">
        <v>295</v>
      </c>
      <c r="F9" s="121">
        <v>2040</v>
      </c>
      <c r="H9" s="81"/>
      <c r="I9" s="81"/>
      <c r="J9" s="81"/>
      <c r="K9" s="81"/>
      <c r="L9" s="81"/>
      <c r="M9" s="81"/>
    </row>
    <row r="10" spans="1:13" x14ac:dyDescent="0.25">
      <c r="A10" s="120" t="s">
        <v>951</v>
      </c>
      <c r="B10" s="120" t="s">
        <v>951</v>
      </c>
      <c r="C10" s="120" t="s">
        <v>12</v>
      </c>
      <c r="D10" s="120" t="s">
        <v>30</v>
      </c>
      <c r="E10" s="120" t="s">
        <v>295</v>
      </c>
      <c r="F10" s="121">
        <v>10</v>
      </c>
      <c r="H10" s="81"/>
      <c r="I10" s="81"/>
      <c r="J10" s="81"/>
      <c r="K10" s="81"/>
      <c r="L10" s="81"/>
      <c r="M10" s="81"/>
    </row>
    <row r="11" spans="1:13" x14ac:dyDescent="0.25">
      <c r="A11" s="120" t="s">
        <v>951</v>
      </c>
      <c r="B11" s="120" t="s">
        <v>951</v>
      </c>
      <c r="C11" s="120" t="s">
        <v>12</v>
      </c>
      <c r="D11" s="120" t="s">
        <v>32</v>
      </c>
      <c r="E11" s="120" t="s">
        <v>295</v>
      </c>
      <c r="F11" s="121">
        <v>115838</v>
      </c>
      <c r="H11" s="81"/>
      <c r="I11" s="81"/>
      <c r="J11" s="81"/>
      <c r="K11" s="81"/>
      <c r="L11" s="81"/>
      <c r="M11" s="81"/>
    </row>
    <row r="12" spans="1:13" x14ac:dyDescent="0.25">
      <c r="A12" s="120" t="s">
        <v>951</v>
      </c>
      <c r="B12" s="120" t="s">
        <v>951</v>
      </c>
      <c r="C12" s="120" t="s">
        <v>12</v>
      </c>
      <c r="D12" s="120" t="s">
        <v>34</v>
      </c>
      <c r="E12" s="120" t="s">
        <v>295</v>
      </c>
      <c r="F12" s="121">
        <v>103901</v>
      </c>
      <c r="H12" s="81"/>
      <c r="I12" s="81"/>
      <c r="J12" s="81"/>
      <c r="K12" s="81"/>
      <c r="L12" s="81"/>
      <c r="M12" s="81"/>
    </row>
    <row r="13" spans="1:13" x14ac:dyDescent="0.25">
      <c r="A13" s="120" t="s">
        <v>951</v>
      </c>
      <c r="B13" s="120" t="s">
        <v>951</v>
      </c>
      <c r="C13" s="120" t="s">
        <v>12</v>
      </c>
      <c r="D13" s="120" t="s">
        <v>11</v>
      </c>
      <c r="E13" s="120" t="s">
        <v>295</v>
      </c>
      <c r="F13" s="121">
        <v>1597</v>
      </c>
      <c r="H13" s="81"/>
      <c r="I13" s="81"/>
      <c r="J13" s="81"/>
      <c r="K13" s="81"/>
      <c r="L13" s="81"/>
      <c r="M13" s="81"/>
    </row>
    <row r="14" spans="1:13" x14ac:dyDescent="0.25">
      <c r="A14" s="120" t="s">
        <v>951</v>
      </c>
      <c r="B14" s="120" t="s">
        <v>951</v>
      </c>
      <c r="C14" s="120" t="s">
        <v>12</v>
      </c>
      <c r="D14" s="120" t="s">
        <v>13</v>
      </c>
      <c r="E14" s="120" t="s">
        <v>295</v>
      </c>
      <c r="F14" s="121">
        <v>357</v>
      </c>
      <c r="H14" s="81"/>
      <c r="I14" s="81"/>
      <c r="J14" s="81"/>
      <c r="K14" s="81"/>
      <c r="L14" s="81"/>
      <c r="M14" s="81"/>
    </row>
    <row r="15" spans="1:13" x14ac:dyDescent="0.25">
      <c r="A15" s="120" t="s">
        <v>951</v>
      </c>
      <c r="B15" s="120" t="s">
        <v>951</v>
      </c>
      <c r="C15" s="120" t="s">
        <v>12</v>
      </c>
      <c r="D15" s="120" t="s">
        <v>14</v>
      </c>
      <c r="E15" s="120" t="s">
        <v>295</v>
      </c>
      <c r="F15" s="121">
        <v>9762</v>
      </c>
      <c r="H15" s="81"/>
      <c r="I15" s="81"/>
      <c r="J15" s="81"/>
      <c r="K15" s="81"/>
      <c r="L15" s="81"/>
      <c r="M15" s="81"/>
    </row>
    <row r="16" spans="1:13" x14ac:dyDescent="0.25">
      <c r="A16" s="120" t="s">
        <v>951</v>
      </c>
      <c r="B16" s="120" t="s">
        <v>951</v>
      </c>
      <c r="C16" s="120" t="s">
        <v>12</v>
      </c>
      <c r="D16" s="120" t="s">
        <v>15</v>
      </c>
      <c r="E16" s="120" t="s">
        <v>295</v>
      </c>
      <c r="F16" s="121">
        <v>21167</v>
      </c>
      <c r="H16" s="81"/>
      <c r="I16" s="81"/>
      <c r="J16" s="81"/>
      <c r="K16" s="81"/>
      <c r="L16" s="81"/>
      <c r="M16" s="81"/>
    </row>
    <row r="17" spans="1:13" x14ac:dyDescent="0.25">
      <c r="A17" s="120" t="s">
        <v>951</v>
      </c>
      <c r="B17" s="120" t="s">
        <v>951</v>
      </c>
      <c r="C17" s="120" t="s">
        <v>12</v>
      </c>
      <c r="D17" s="120" t="s">
        <v>16</v>
      </c>
      <c r="E17" s="120" t="s">
        <v>295</v>
      </c>
      <c r="F17" s="121">
        <v>83243</v>
      </c>
      <c r="H17" s="81"/>
      <c r="I17" s="81"/>
      <c r="J17" s="81"/>
      <c r="K17" s="81"/>
      <c r="L17" s="81"/>
      <c r="M17" s="81"/>
    </row>
    <row r="18" spans="1:13" x14ac:dyDescent="0.25">
      <c r="A18" s="120" t="s">
        <v>951</v>
      </c>
      <c r="B18" s="120" t="s">
        <v>951</v>
      </c>
      <c r="C18" s="120" t="s">
        <v>12</v>
      </c>
      <c r="D18" s="120" t="s">
        <v>35</v>
      </c>
      <c r="E18" s="120" t="s">
        <v>295</v>
      </c>
      <c r="F18" s="121">
        <v>11840</v>
      </c>
      <c r="H18" s="81"/>
      <c r="I18" s="81"/>
      <c r="J18" s="81"/>
      <c r="K18" s="81"/>
      <c r="L18" s="81"/>
      <c r="M18" s="81"/>
    </row>
    <row r="19" spans="1:13" x14ac:dyDescent="0.25">
      <c r="A19" s="120" t="s">
        <v>951</v>
      </c>
      <c r="B19" s="120" t="s">
        <v>951</v>
      </c>
      <c r="C19" s="120" t="s">
        <v>12</v>
      </c>
      <c r="D19" s="120" t="s">
        <v>17</v>
      </c>
      <c r="E19" s="120" t="s">
        <v>295</v>
      </c>
      <c r="F19" s="121">
        <v>8872</v>
      </c>
      <c r="H19" s="81"/>
      <c r="I19" s="81"/>
      <c r="J19" s="81"/>
      <c r="K19" s="81"/>
      <c r="L19" s="81"/>
      <c r="M19" s="81"/>
    </row>
    <row r="20" spans="1:13" x14ac:dyDescent="0.25">
      <c r="A20" s="120" t="s">
        <v>951</v>
      </c>
      <c r="B20" s="120" t="s">
        <v>951</v>
      </c>
      <c r="C20" s="120" t="s">
        <v>12</v>
      </c>
      <c r="D20" s="120" t="s">
        <v>18</v>
      </c>
      <c r="E20" s="120" t="s">
        <v>295</v>
      </c>
      <c r="F20" s="121">
        <v>16038</v>
      </c>
      <c r="H20" s="81"/>
      <c r="I20" s="81"/>
      <c r="J20" s="81"/>
      <c r="K20" s="81"/>
      <c r="L20" s="81"/>
      <c r="M20" s="81"/>
    </row>
    <row r="21" spans="1:13" x14ac:dyDescent="0.25">
      <c r="A21" s="120" t="s">
        <v>951</v>
      </c>
      <c r="B21" s="120" t="s">
        <v>951</v>
      </c>
      <c r="C21" s="120" t="s">
        <v>12</v>
      </c>
      <c r="D21" s="120" t="s">
        <v>19</v>
      </c>
      <c r="E21" s="120" t="s">
        <v>295</v>
      </c>
      <c r="F21" s="121">
        <v>3324</v>
      </c>
      <c r="H21" s="81"/>
      <c r="I21" s="81"/>
      <c r="J21" s="81"/>
      <c r="K21" s="81"/>
      <c r="L21" s="81"/>
      <c r="M21" s="81"/>
    </row>
    <row r="22" spans="1:13" x14ac:dyDescent="0.25">
      <c r="A22" s="120" t="s">
        <v>951</v>
      </c>
      <c r="B22" s="120" t="s">
        <v>951</v>
      </c>
      <c r="C22" s="120" t="s">
        <v>12</v>
      </c>
      <c r="D22" s="120" t="s">
        <v>20</v>
      </c>
      <c r="E22" s="120" t="s">
        <v>295</v>
      </c>
      <c r="F22" s="121">
        <v>0</v>
      </c>
      <c r="H22" s="81"/>
      <c r="I22" s="81"/>
      <c r="J22" s="81"/>
      <c r="K22" s="81"/>
      <c r="L22" s="81"/>
      <c r="M22" s="81"/>
    </row>
    <row r="23" spans="1:13" x14ac:dyDescent="0.25">
      <c r="A23" s="120" t="s">
        <v>951</v>
      </c>
      <c r="B23" s="120" t="s">
        <v>951</v>
      </c>
      <c r="C23" s="120" t="s">
        <v>12</v>
      </c>
      <c r="D23" s="120" t="s">
        <v>21</v>
      </c>
      <c r="E23" s="120" t="s">
        <v>295</v>
      </c>
      <c r="F23" s="121">
        <v>31355</v>
      </c>
      <c r="H23" s="81"/>
      <c r="I23" s="81"/>
      <c r="J23" s="81"/>
      <c r="K23" s="81"/>
      <c r="L23" s="81"/>
      <c r="M23" s="81"/>
    </row>
    <row r="24" spans="1:13" x14ac:dyDescent="0.25">
      <c r="A24" s="120" t="s">
        <v>951</v>
      </c>
      <c r="B24" s="120" t="s">
        <v>951</v>
      </c>
      <c r="C24" s="120" t="s">
        <v>12</v>
      </c>
      <c r="D24" s="120" t="s">
        <v>22</v>
      </c>
      <c r="E24" s="120" t="s">
        <v>295</v>
      </c>
      <c r="F24" s="121">
        <v>57653</v>
      </c>
      <c r="H24" s="81"/>
      <c r="I24" s="81"/>
      <c r="J24" s="81"/>
      <c r="K24" s="81"/>
      <c r="L24" s="81"/>
      <c r="M24" s="81"/>
    </row>
    <row r="25" spans="1:13" x14ac:dyDescent="0.25">
      <c r="A25" s="120" t="s">
        <v>951</v>
      </c>
      <c r="B25" s="120" t="s">
        <v>951</v>
      </c>
      <c r="C25" s="120" t="s">
        <v>12</v>
      </c>
      <c r="D25" s="120" t="s">
        <v>23</v>
      </c>
      <c r="E25" s="120" t="s">
        <v>295</v>
      </c>
      <c r="F25" s="121">
        <v>0</v>
      </c>
      <c r="H25" s="81"/>
      <c r="I25" s="81"/>
      <c r="J25" s="81"/>
      <c r="K25" s="81"/>
      <c r="L25" s="81"/>
      <c r="M25" s="81"/>
    </row>
    <row r="26" spans="1:13" x14ac:dyDescent="0.25">
      <c r="A26" s="120" t="s">
        <v>951</v>
      </c>
      <c r="B26" s="120" t="s">
        <v>951</v>
      </c>
      <c r="C26" s="120" t="s">
        <v>12</v>
      </c>
      <c r="D26" s="120" t="s">
        <v>24</v>
      </c>
      <c r="E26" s="120" t="s">
        <v>295</v>
      </c>
      <c r="F26" s="121">
        <v>7137</v>
      </c>
      <c r="H26" s="81"/>
      <c r="I26" s="81"/>
      <c r="J26" s="81"/>
      <c r="K26" s="81"/>
      <c r="L26" s="81"/>
      <c r="M26" s="81"/>
    </row>
    <row r="27" spans="1:13" x14ac:dyDescent="0.25">
      <c r="A27" s="120" t="s">
        <v>951</v>
      </c>
      <c r="B27" s="120" t="s">
        <v>951</v>
      </c>
      <c r="C27" s="120" t="s">
        <v>12</v>
      </c>
      <c r="D27" s="120" t="s">
        <v>28</v>
      </c>
      <c r="E27" s="120" t="s">
        <v>297</v>
      </c>
      <c r="F27" s="121">
        <v>0</v>
      </c>
      <c r="H27" s="81"/>
      <c r="I27" s="81"/>
      <c r="J27" s="81"/>
      <c r="K27" s="81"/>
      <c r="L27" s="81"/>
      <c r="M27" s="81"/>
    </row>
    <row r="28" spans="1:13" x14ac:dyDescent="0.25">
      <c r="A28" s="120" t="s">
        <v>951</v>
      </c>
      <c r="B28" s="120" t="s">
        <v>951</v>
      </c>
      <c r="C28" s="120" t="s">
        <v>12</v>
      </c>
      <c r="D28" s="120" t="s">
        <v>25</v>
      </c>
      <c r="E28" s="120" t="s">
        <v>297</v>
      </c>
      <c r="F28" s="121">
        <v>62108</v>
      </c>
      <c r="H28" s="81"/>
      <c r="I28" s="81"/>
      <c r="J28" s="81"/>
      <c r="K28" s="81"/>
      <c r="L28" s="81"/>
      <c r="M28" s="81"/>
    </row>
    <row r="29" spans="1:13" x14ac:dyDescent="0.25">
      <c r="A29" s="120" t="s">
        <v>951</v>
      </c>
      <c r="B29" s="120" t="s">
        <v>951</v>
      </c>
      <c r="C29" s="120" t="s">
        <v>12</v>
      </c>
      <c r="D29" s="120" t="s">
        <v>26</v>
      </c>
      <c r="E29" s="120" t="s">
        <v>297</v>
      </c>
      <c r="F29" s="121">
        <v>0</v>
      </c>
      <c r="H29" s="81"/>
      <c r="I29" s="81"/>
      <c r="J29" s="81"/>
      <c r="K29" s="81"/>
      <c r="L29" s="81"/>
      <c r="M29" s="81"/>
    </row>
    <row r="30" spans="1:13" x14ac:dyDescent="0.25">
      <c r="A30" s="120" t="s">
        <v>951</v>
      </c>
      <c r="B30" s="120" t="s">
        <v>951</v>
      </c>
      <c r="C30" s="120" t="s">
        <v>12</v>
      </c>
      <c r="D30" s="120" t="s">
        <v>27</v>
      </c>
      <c r="E30" s="120" t="s">
        <v>297</v>
      </c>
      <c r="F30" s="121">
        <v>2388</v>
      </c>
      <c r="H30" s="81"/>
      <c r="I30" s="81"/>
      <c r="J30" s="81"/>
      <c r="K30" s="81"/>
      <c r="L30" s="81"/>
      <c r="M30" s="81"/>
    </row>
    <row r="31" spans="1:13" x14ac:dyDescent="0.25">
      <c r="A31" s="120" t="s">
        <v>951</v>
      </c>
      <c r="B31" s="120" t="s">
        <v>951</v>
      </c>
      <c r="C31" s="120" t="s">
        <v>38</v>
      </c>
      <c r="D31" s="120" t="s">
        <v>37</v>
      </c>
      <c r="E31" s="120" t="s">
        <v>3</v>
      </c>
      <c r="F31" s="121">
        <v>27306</v>
      </c>
      <c r="H31" s="81"/>
      <c r="I31" s="81"/>
      <c r="J31" s="81"/>
      <c r="K31" s="81"/>
      <c r="L31" s="81"/>
      <c r="M31" s="81"/>
    </row>
    <row r="32" spans="1:13" x14ac:dyDescent="0.25">
      <c r="A32" s="120" t="s">
        <v>951</v>
      </c>
      <c r="B32" s="120" t="s">
        <v>951</v>
      </c>
      <c r="C32" s="120" t="s">
        <v>38</v>
      </c>
      <c r="D32" s="120" t="s">
        <v>37</v>
      </c>
      <c r="E32" s="120" t="s">
        <v>0</v>
      </c>
      <c r="F32" s="121">
        <v>27306</v>
      </c>
      <c r="H32" s="81"/>
      <c r="I32" s="81"/>
      <c r="J32" s="81"/>
      <c r="K32" s="81"/>
      <c r="L32" s="81"/>
      <c r="M32" s="81"/>
    </row>
    <row r="33" spans="1:13" x14ac:dyDescent="0.25">
      <c r="A33" s="120" t="s">
        <v>951</v>
      </c>
      <c r="B33" s="120" t="s">
        <v>951</v>
      </c>
      <c r="C33" s="120" t="s">
        <v>38</v>
      </c>
      <c r="D33" s="120" t="s">
        <v>37</v>
      </c>
      <c r="E33" s="120" t="s">
        <v>2</v>
      </c>
      <c r="F33" s="121">
        <v>27306</v>
      </c>
      <c r="H33" s="81"/>
      <c r="I33" s="81"/>
      <c r="J33" s="81"/>
      <c r="K33" s="81"/>
      <c r="L33" s="81"/>
      <c r="M33" s="81"/>
    </row>
    <row r="34" spans="1:13" x14ac:dyDescent="0.25">
      <c r="A34" s="120" t="s">
        <v>951</v>
      </c>
      <c r="B34" s="120" t="s">
        <v>951</v>
      </c>
      <c r="C34" s="120" t="s">
        <v>38</v>
      </c>
      <c r="D34" s="120" t="s">
        <v>37</v>
      </c>
      <c r="E34" s="120" t="s">
        <v>298</v>
      </c>
      <c r="F34" s="121">
        <v>27306</v>
      </c>
      <c r="H34" s="81"/>
      <c r="I34" s="81"/>
      <c r="J34" s="81"/>
      <c r="K34" s="81"/>
      <c r="L34" s="81"/>
      <c r="M34" s="81"/>
    </row>
    <row r="35" spans="1:13" x14ac:dyDescent="0.25">
      <c r="A35" s="120" t="s">
        <v>951</v>
      </c>
      <c r="B35" s="120" t="s">
        <v>951</v>
      </c>
      <c r="C35" s="120" t="s">
        <v>38</v>
      </c>
      <c r="D35" s="120" t="s">
        <v>37</v>
      </c>
      <c r="E35" s="120" t="s">
        <v>294</v>
      </c>
      <c r="F35" s="121">
        <v>27306</v>
      </c>
      <c r="H35" s="81"/>
      <c r="I35" s="81"/>
      <c r="J35" s="81"/>
      <c r="K35" s="81"/>
      <c r="L35" s="81"/>
      <c r="M35" s="81"/>
    </row>
    <row r="36" spans="1:13" x14ac:dyDescent="0.25">
      <c r="A36" s="120" t="s">
        <v>951</v>
      </c>
      <c r="B36" s="120" t="s">
        <v>951</v>
      </c>
      <c r="C36" s="120" t="s">
        <v>38</v>
      </c>
      <c r="D36" s="120" t="s">
        <v>37</v>
      </c>
      <c r="E36" s="120" t="s">
        <v>1</v>
      </c>
      <c r="F36" s="121">
        <v>27306</v>
      </c>
      <c r="H36" s="81"/>
      <c r="I36" s="81"/>
      <c r="J36" s="81"/>
      <c r="K36" s="81"/>
      <c r="L36" s="81"/>
      <c r="M36" s="81"/>
    </row>
    <row r="37" spans="1:13" x14ac:dyDescent="0.25">
      <c r="A37" s="120" t="s">
        <v>951</v>
      </c>
      <c r="B37" s="120" t="s">
        <v>951</v>
      </c>
      <c r="C37" s="120" t="s">
        <v>38</v>
      </c>
      <c r="D37" s="120" t="s">
        <v>40</v>
      </c>
      <c r="E37" s="120" t="s">
        <v>3</v>
      </c>
      <c r="F37" s="121">
        <v>0</v>
      </c>
      <c r="H37" s="81"/>
      <c r="I37" s="81"/>
      <c r="J37" s="81"/>
      <c r="K37" s="81"/>
      <c r="L37" s="81"/>
      <c r="M37" s="81"/>
    </row>
    <row r="38" spans="1:13" x14ac:dyDescent="0.25">
      <c r="A38" s="120" t="s">
        <v>951</v>
      </c>
      <c r="B38" s="120" t="s">
        <v>951</v>
      </c>
      <c r="C38" s="120" t="s">
        <v>38</v>
      </c>
      <c r="D38" s="120" t="s">
        <v>40</v>
      </c>
      <c r="E38" s="120" t="s">
        <v>0</v>
      </c>
      <c r="F38" s="121">
        <v>0</v>
      </c>
      <c r="H38" s="81"/>
      <c r="I38" s="81"/>
      <c r="J38" s="81"/>
      <c r="K38" s="81"/>
      <c r="L38" s="81"/>
      <c r="M38" s="81"/>
    </row>
    <row r="39" spans="1:13" x14ac:dyDescent="0.25">
      <c r="A39" s="120" t="s">
        <v>951</v>
      </c>
      <c r="B39" s="120" t="s">
        <v>951</v>
      </c>
      <c r="C39" s="120" t="s">
        <v>38</v>
      </c>
      <c r="D39" s="120" t="s">
        <v>40</v>
      </c>
      <c r="E39" s="120" t="s">
        <v>2</v>
      </c>
      <c r="F39" s="121">
        <v>0</v>
      </c>
      <c r="H39" s="81"/>
      <c r="I39" s="81"/>
      <c r="J39" s="81"/>
      <c r="K39" s="81"/>
      <c r="L39" s="81"/>
      <c r="M39" s="81"/>
    </row>
    <row r="40" spans="1:13" x14ac:dyDescent="0.25">
      <c r="A40" s="120" t="s">
        <v>951</v>
      </c>
      <c r="B40" s="120" t="s">
        <v>951</v>
      </c>
      <c r="C40" s="120" t="s">
        <v>38</v>
      </c>
      <c r="D40" s="120" t="s">
        <v>40</v>
      </c>
      <c r="E40" s="120" t="s">
        <v>294</v>
      </c>
      <c r="F40" s="121">
        <v>0</v>
      </c>
      <c r="H40" s="81"/>
      <c r="I40" s="81"/>
      <c r="J40" s="81"/>
      <c r="K40" s="81"/>
      <c r="L40" s="81"/>
      <c r="M40" s="81"/>
    </row>
    <row r="41" spans="1:13" x14ac:dyDescent="0.25">
      <c r="A41" s="120" t="s">
        <v>951</v>
      </c>
      <c r="B41" s="120" t="s">
        <v>951</v>
      </c>
      <c r="C41" s="120" t="s">
        <v>38</v>
      </c>
      <c r="D41" s="120" t="s">
        <v>40</v>
      </c>
      <c r="E41" s="120" t="s">
        <v>1</v>
      </c>
      <c r="F41" s="121">
        <v>0</v>
      </c>
      <c r="H41" s="81"/>
      <c r="I41" s="81"/>
      <c r="J41" s="81"/>
      <c r="K41" s="81"/>
      <c r="L41" s="81"/>
      <c r="M41" s="81"/>
    </row>
    <row r="42" spans="1:13" x14ac:dyDescent="0.25">
      <c r="A42" s="120" t="s">
        <v>951</v>
      </c>
      <c r="B42" s="120" t="s">
        <v>951</v>
      </c>
      <c r="C42" s="120" t="s">
        <v>44</v>
      </c>
      <c r="D42" s="120" t="s">
        <v>43</v>
      </c>
      <c r="E42" s="120" t="s">
        <v>3</v>
      </c>
      <c r="F42" s="121">
        <v>3054</v>
      </c>
      <c r="H42" s="81"/>
      <c r="I42" s="81"/>
      <c r="J42" s="81"/>
      <c r="K42" s="81"/>
      <c r="L42" s="81"/>
      <c r="M42" s="81"/>
    </row>
    <row r="43" spans="1:13" x14ac:dyDescent="0.25">
      <c r="A43" s="120" t="s">
        <v>951</v>
      </c>
      <c r="B43" s="120" t="s">
        <v>951</v>
      </c>
      <c r="C43" s="120" t="s">
        <v>44</v>
      </c>
      <c r="D43" s="120" t="s">
        <v>43</v>
      </c>
      <c r="E43" s="120" t="s">
        <v>0</v>
      </c>
      <c r="F43" s="121">
        <v>3054</v>
      </c>
      <c r="H43" s="81"/>
      <c r="I43" s="81"/>
      <c r="J43" s="81"/>
      <c r="K43" s="81"/>
      <c r="L43" s="81"/>
      <c r="M43" s="81"/>
    </row>
    <row r="44" spans="1:13" x14ac:dyDescent="0.25">
      <c r="A44" s="120" t="s">
        <v>951</v>
      </c>
      <c r="B44" s="120" t="s">
        <v>951</v>
      </c>
      <c r="C44" s="120" t="s">
        <v>44</v>
      </c>
      <c r="D44" s="120" t="s">
        <v>43</v>
      </c>
      <c r="E44" s="120" t="s">
        <v>2</v>
      </c>
      <c r="F44" s="121">
        <v>3054</v>
      </c>
      <c r="H44" s="81"/>
      <c r="I44" s="81"/>
      <c r="J44" s="81"/>
      <c r="K44" s="81"/>
      <c r="L44" s="81"/>
      <c r="M44" s="81"/>
    </row>
    <row r="45" spans="1:13" x14ac:dyDescent="0.25">
      <c r="A45" s="120" t="s">
        <v>951</v>
      </c>
      <c r="B45" s="120" t="s">
        <v>951</v>
      </c>
      <c r="C45" s="120" t="s">
        <v>44</v>
      </c>
      <c r="D45" s="120" t="s">
        <v>43</v>
      </c>
      <c r="E45" s="120" t="s">
        <v>298</v>
      </c>
      <c r="F45" s="121">
        <v>3054</v>
      </c>
      <c r="H45" s="81"/>
      <c r="I45" s="81"/>
      <c r="J45" s="81"/>
      <c r="K45" s="81"/>
      <c r="L45" s="81"/>
      <c r="M45" s="81"/>
    </row>
    <row r="46" spans="1:13" x14ac:dyDescent="0.25">
      <c r="A46" s="120" t="s">
        <v>951</v>
      </c>
      <c r="B46" s="120" t="s">
        <v>951</v>
      </c>
      <c r="C46" s="120" t="s">
        <v>44</v>
      </c>
      <c r="D46" s="120" t="s">
        <v>43</v>
      </c>
      <c r="E46" s="120" t="s">
        <v>294</v>
      </c>
      <c r="F46" s="121">
        <v>3054</v>
      </c>
      <c r="H46" s="81"/>
      <c r="I46" s="81"/>
      <c r="J46" s="81"/>
      <c r="K46" s="81"/>
      <c r="L46" s="81"/>
      <c r="M46" s="81"/>
    </row>
    <row r="47" spans="1:13" x14ac:dyDescent="0.25">
      <c r="A47" s="120" t="s">
        <v>951</v>
      </c>
      <c r="B47" s="120" t="s">
        <v>951</v>
      </c>
      <c r="C47" s="120" t="s">
        <v>44</v>
      </c>
      <c r="D47" s="120" t="s">
        <v>43</v>
      </c>
      <c r="E47" s="120" t="s">
        <v>1</v>
      </c>
      <c r="F47" s="121">
        <v>3054</v>
      </c>
      <c r="H47" s="81"/>
      <c r="I47" s="81"/>
      <c r="J47" s="81"/>
      <c r="K47" s="81"/>
      <c r="L47" s="81"/>
      <c r="M47" s="81"/>
    </row>
    <row r="48" spans="1:13" x14ac:dyDescent="0.25">
      <c r="A48" s="120" t="s">
        <v>951</v>
      </c>
      <c r="B48" s="120" t="s">
        <v>951</v>
      </c>
      <c r="C48" s="120" t="s">
        <v>44</v>
      </c>
      <c r="D48" s="120" t="s">
        <v>45</v>
      </c>
      <c r="E48" s="120" t="s">
        <v>3</v>
      </c>
      <c r="F48" s="121">
        <v>0</v>
      </c>
      <c r="H48" s="81"/>
      <c r="I48" s="81"/>
      <c r="J48" s="81"/>
      <c r="K48" s="81"/>
      <c r="L48" s="81"/>
      <c r="M48" s="81"/>
    </row>
    <row r="49" spans="1:13" x14ac:dyDescent="0.25">
      <c r="A49" s="120" t="s">
        <v>951</v>
      </c>
      <c r="B49" s="120" t="s">
        <v>951</v>
      </c>
      <c r="C49" s="120" t="s">
        <v>44</v>
      </c>
      <c r="D49" s="120" t="s">
        <v>45</v>
      </c>
      <c r="E49" s="120" t="s">
        <v>0</v>
      </c>
      <c r="F49" s="121">
        <v>0</v>
      </c>
      <c r="H49" s="81"/>
      <c r="I49" s="81"/>
      <c r="J49" s="81"/>
      <c r="K49" s="81"/>
      <c r="L49" s="81"/>
      <c r="M49" s="81"/>
    </row>
    <row r="50" spans="1:13" x14ac:dyDescent="0.25">
      <c r="A50" s="120" t="s">
        <v>951</v>
      </c>
      <c r="B50" s="120" t="s">
        <v>951</v>
      </c>
      <c r="C50" s="120" t="s">
        <v>44</v>
      </c>
      <c r="D50" s="120" t="s">
        <v>45</v>
      </c>
      <c r="E50" s="120" t="s">
        <v>2</v>
      </c>
      <c r="F50" s="121">
        <v>0</v>
      </c>
      <c r="H50" s="81"/>
      <c r="I50" s="81"/>
      <c r="J50" s="81"/>
      <c r="K50" s="81"/>
      <c r="L50" s="81"/>
      <c r="M50" s="81"/>
    </row>
    <row r="51" spans="1:13" x14ac:dyDescent="0.25">
      <c r="A51" s="120" t="s">
        <v>951</v>
      </c>
      <c r="B51" s="120" t="s">
        <v>951</v>
      </c>
      <c r="C51" s="120" t="s">
        <v>44</v>
      </c>
      <c r="D51" s="120" t="s">
        <v>45</v>
      </c>
      <c r="E51" s="120" t="s">
        <v>294</v>
      </c>
      <c r="F51" s="121">
        <v>0</v>
      </c>
      <c r="H51" s="81"/>
      <c r="I51" s="81"/>
      <c r="J51" s="81"/>
      <c r="K51" s="81"/>
      <c r="L51" s="81"/>
      <c r="M51" s="81"/>
    </row>
    <row r="52" spans="1:13" x14ac:dyDescent="0.25">
      <c r="A52" s="120" t="s">
        <v>951</v>
      </c>
      <c r="B52" s="120" t="s">
        <v>951</v>
      </c>
      <c r="C52" s="120" t="s">
        <v>44</v>
      </c>
      <c r="D52" s="120" t="s">
        <v>45</v>
      </c>
      <c r="E52" s="120" t="s">
        <v>1</v>
      </c>
      <c r="F52" s="121">
        <v>0</v>
      </c>
      <c r="H52" s="81"/>
      <c r="I52" s="81"/>
      <c r="J52" s="81"/>
      <c r="K52" s="81"/>
      <c r="L52" s="81"/>
      <c r="M52" s="81"/>
    </row>
    <row r="53" spans="1:13" x14ac:dyDescent="0.25">
      <c r="A53" s="120" t="s">
        <v>951</v>
      </c>
      <c r="B53" s="120" t="s">
        <v>951</v>
      </c>
      <c r="C53" s="120" t="s">
        <v>44</v>
      </c>
      <c r="D53" s="120" t="s">
        <v>47</v>
      </c>
      <c r="E53" s="120" t="s">
        <v>3</v>
      </c>
      <c r="F53" s="121">
        <v>0</v>
      </c>
      <c r="H53" s="81"/>
      <c r="I53" s="81"/>
      <c r="J53" s="81"/>
      <c r="K53" s="81"/>
      <c r="L53" s="81"/>
      <c r="M53" s="81"/>
    </row>
    <row r="54" spans="1:13" x14ac:dyDescent="0.25">
      <c r="A54" s="120" t="s">
        <v>951</v>
      </c>
      <c r="B54" s="120" t="s">
        <v>951</v>
      </c>
      <c r="C54" s="120" t="s">
        <v>44</v>
      </c>
      <c r="D54" s="120" t="s">
        <v>47</v>
      </c>
      <c r="E54" s="120" t="s">
        <v>0</v>
      </c>
      <c r="F54" s="121">
        <v>0</v>
      </c>
      <c r="H54" s="81"/>
      <c r="I54" s="81"/>
      <c r="J54" s="81"/>
      <c r="K54" s="81"/>
      <c r="L54" s="81"/>
      <c r="M54" s="81"/>
    </row>
    <row r="55" spans="1:13" x14ac:dyDescent="0.25">
      <c r="A55" s="120" t="s">
        <v>951</v>
      </c>
      <c r="B55" s="120" t="s">
        <v>951</v>
      </c>
      <c r="C55" s="120" t="s">
        <v>44</v>
      </c>
      <c r="D55" s="120" t="s">
        <v>47</v>
      </c>
      <c r="E55" s="120" t="s">
        <v>2</v>
      </c>
      <c r="F55" s="121">
        <v>0</v>
      </c>
      <c r="H55" s="81"/>
      <c r="I55" s="81"/>
      <c r="J55" s="81"/>
      <c r="K55" s="81"/>
      <c r="L55" s="81"/>
      <c r="M55" s="81"/>
    </row>
    <row r="56" spans="1:13" x14ac:dyDescent="0.25">
      <c r="A56" s="120" t="s">
        <v>951</v>
      </c>
      <c r="B56" s="120" t="s">
        <v>951</v>
      </c>
      <c r="C56" s="120" t="s">
        <v>44</v>
      </c>
      <c r="D56" s="120" t="s">
        <v>47</v>
      </c>
      <c r="E56" s="120" t="s">
        <v>294</v>
      </c>
      <c r="F56" s="121">
        <v>0</v>
      </c>
      <c r="H56" s="81"/>
      <c r="I56" s="81"/>
      <c r="J56" s="81"/>
      <c r="K56" s="81"/>
      <c r="L56" s="81"/>
      <c r="M56" s="81"/>
    </row>
    <row r="57" spans="1:13" x14ac:dyDescent="0.25">
      <c r="A57" s="120" t="s">
        <v>951</v>
      </c>
      <c r="B57" s="120" t="s">
        <v>951</v>
      </c>
      <c r="C57" s="120" t="s">
        <v>44</v>
      </c>
      <c r="D57" s="120" t="s">
        <v>47</v>
      </c>
      <c r="E57" s="120" t="s">
        <v>1</v>
      </c>
      <c r="F57" s="121">
        <v>0</v>
      </c>
      <c r="H57" s="81"/>
      <c r="I57" s="81"/>
      <c r="J57" s="81"/>
      <c r="K57" s="81"/>
      <c r="L57" s="81"/>
      <c r="M57" s="81"/>
    </row>
    <row r="58" spans="1:13" x14ac:dyDescent="0.25">
      <c r="A58" s="120" t="s">
        <v>951</v>
      </c>
      <c r="B58" s="120" t="s">
        <v>951</v>
      </c>
      <c r="C58" s="120" t="s">
        <v>44</v>
      </c>
      <c r="D58" s="120" t="s">
        <v>49</v>
      </c>
      <c r="E58" s="120" t="s">
        <v>3</v>
      </c>
      <c r="F58" s="121">
        <v>927</v>
      </c>
      <c r="H58" s="81"/>
      <c r="I58" s="81"/>
      <c r="J58" s="81"/>
      <c r="K58" s="81"/>
      <c r="L58" s="81"/>
      <c r="M58" s="81"/>
    </row>
    <row r="59" spans="1:13" x14ac:dyDescent="0.25">
      <c r="A59" s="120" t="s">
        <v>951</v>
      </c>
      <c r="B59" s="120" t="s">
        <v>951</v>
      </c>
      <c r="C59" s="120" t="s">
        <v>44</v>
      </c>
      <c r="D59" s="120" t="s">
        <v>49</v>
      </c>
      <c r="E59" s="120" t="s">
        <v>0</v>
      </c>
      <c r="F59" s="121">
        <v>927</v>
      </c>
      <c r="H59" s="81"/>
      <c r="I59" s="81"/>
      <c r="J59" s="81"/>
      <c r="K59" s="81"/>
      <c r="L59" s="81"/>
      <c r="M59" s="81"/>
    </row>
    <row r="60" spans="1:13" x14ac:dyDescent="0.25">
      <c r="A60" s="120" t="s">
        <v>951</v>
      </c>
      <c r="B60" s="120" t="s">
        <v>951</v>
      </c>
      <c r="C60" s="120" t="s">
        <v>44</v>
      </c>
      <c r="D60" s="120" t="s">
        <v>49</v>
      </c>
      <c r="E60" s="120" t="s">
        <v>2</v>
      </c>
      <c r="F60" s="121">
        <v>927</v>
      </c>
      <c r="H60" s="81"/>
      <c r="I60" s="81"/>
      <c r="J60" s="81"/>
      <c r="K60" s="81"/>
      <c r="L60" s="81"/>
      <c r="M60" s="81"/>
    </row>
    <row r="61" spans="1:13" x14ac:dyDescent="0.25">
      <c r="A61" s="120" t="s">
        <v>951</v>
      </c>
      <c r="B61" s="120" t="s">
        <v>951</v>
      </c>
      <c r="C61" s="120" t="s">
        <v>44</v>
      </c>
      <c r="D61" s="120" t="s">
        <v>49</v>
      </c>
      <c r="E61" s="120" t="s">
        <v>298</v>
      </c>
      <c r="F61" s="121">
        <v>927</v>
      </c>
      <c r="H61" s="81"/>
      <c r="I61" s="81"/>
      <c r="J61" s="81"/>
      <c r="K61" s="81"/>
      <c r="L61" s="81"/>
      <c r="M61" s="81"/>
    </row>
    <row r="62" spans="1:13" x14ac:dyDescent="0.25">
      <c r="A62" s="120" t="s">
        <v>951</v>
      </c>
      <c r="B62" s="120" t="s">
        <v>951</v>
      </c>
      <c r="C62" s="120" t="s">
        <v>44</v>
      </c>
      <c r="D62" s="120" t="s">
        <v>49</v>
      </c>
      <c r="E62" s="120" t="s">
        <v>294</v>
      </c>
      <c r="F62" s="121">
        <v>927</v>
      </c>
      <c r="H62" s="81"/>
      <c r="I62" s="81"/>
      <c r="J62" s="81"/>
      <c r="K62" s="81"/>
      <c r="L62" s="81"/>
      <c r="M62" s="81"/>
    </row>
    <row r="63" spans="1:13" x14ac:dyDescent="0.25">
      <c r="A63" s="120" t="s">
        <v>951</v>
      </c>
      <c r="B63" s="120" t="s">
        <v>951</v>
      </c>
      <c r="C63" s="120" t="s">
        <v>44</v>
      </c>
      <c r="D63" s="120" t="s">
        <v>49</v>
      </c>
      <c r="E63" s="120" t="s">
        <v>1</v>
      </c>
      <c r="F63" s="121">
        <v>927</v>
      </c>
      <c r="H63" s="81"/>
      <c r="I63" s="81"/>
      <c r="J63" s="81"/>
      <c r="K63" s="81"/>
      <c r="L63" s="81"/>
      <c r="M63" s="81"/>
    </row>
    <row r="64" spans="1:13" x14ac:dyDescent="0.25">
      <c r="A64" s="120" t="s">
        <v>951</v>
      </c>
      <c r="B64" s="120" t="s">
        <v>951</v>
      </c>
      <c r="C64" s="120" t="s">
        <v>44</v>
      </c>
      <c r="D64" s="120" t="s">
        <v>50</v>
      </c>
      <c r="E64" s="120" t="s">
        <v>3</v>
      </c>
      <c r="F64" s="121">
        <v>1215</v>
      </c>
      <c r="H64" s="81"/>
      <c r="I64" s="81"/>
      <c r="J64" s="81"/>
      <c r="K64" s="81"/>
      <c r="L64" s="81"/>
      <c r="M64" s="81"/>
    </row>
    <row r="65" spans="1:13" x14ac:dyDescent="0.25">
      <c r="A65" s="120" t="s">
        <v>951</v>
      </c>
      <c r="B65" s="120" t="s">
        <v>951</v>
      </c>
      <c r="C65" s="120" t="s">
        <v>44</v>
      </c>
      <c r="D65" s="120" t="s">
        <v>50</v>
      </c>
      <c r="E65" s="120" t="s">
        <v>0</v>
      </c>
      <c r="F65" s="121">
        <v>1215</v>
      </c>
      <c r="H65" s="81"/>
      <c r="I65" s="81"/>
      <c r="J65" s="81"/>
      <c r="K65" s="81"/>
      <c r="L65" s="81"/>
      <c r="M65" s="81"/>
    </row>
    <row r="66" spans="1:13" x14ac:dyDescent="0.25">
      <c r="A66" s="120" t="s">
        <v>951</v>
      </c>
      <c r="B66" s="120" t="s">
        <v>951</v>
      </c>
      <c r="C66" s="120" t="s">
        <v>44</v>
      </c>
      <c r="D66" s="120" t="s">
        <v>50</v>
      </c>
      <c r="E66" s="120" t="s">
        <v>2</v>
      </c>
      <c r="F66" s="121">
        <v>1215</v>
      </c>
      <c r="H66" s="81"/>
      <c r="I66" s="81"/>
      <c r="J66" s="81"/>
      <c r="K66" s="81"/>
      <c r="L66" s="81"/>
      <c r="M66" s="81"/>
    </row>
    <row r="67" spans="1:13" x14ac:dyDescent="0.25">
      <c r="A67" s="120" t="s">
        <v>951</v>
      </c>
      <c r="B67" s="120" t="s">
        <v>951</v>
      </c>
      <c r="C67" s="120" t="s">
        <v>44</v>
      </c>
      <c r="D67" s="120" t="s">
        <v>50</v>
      </c>
      <c r="E67" s="120" t="s">
        <v>298</v>
      </c>
      <c r="F67" s="121">
        <v>1215</v>
      </c>
      <c r="H67" s="81"/>
      <c r="I67" s="81"/>
      <c r="J67" s="81"/>
      <c r="K67" s="81"/>
      <c r="L67" s="81"/>
      <c r="M67" s="81"/>
    </row>
    <row r="68" spans="1:13" x14ac:dyDescent="0.25">
      <c r="A68" s="120" t="s">
        <v>951</v>
      </c>
      <c r="B68" s="120" t="s">
        <v>951</v>
      </c>
      <c r="C68" s="120" t="s">
        <v>44</v>
      </c>
      <c r="D68" s="120" t="s">
        <v>50</v>
      </c>
      <c r="E68" s="120" t="s">
        <v>294</v>
      </c>
      <c r="F68" s="121">
        <v>1215</v>
      </c>
      <c r="H68" s="81"/>
      <c r="I68" s="81"/>
      <c r="J68" s="81"/>
      <c r="K68" s="81"/>
      <c r="L68" s="81"/>
      <c r="M68" s="81"/>
    </row>
    <row r="69" spans="1:13" x14ac:dyDescent="0.25">
      <c r="A69" s="120" t="s">
        <v>951</v>
      </c>
      <c r="B69" s="120" t="s">
        <v>951</v>
      </c>
      <c r="C69" s="120" t="s">
        <v>44</v>
      </c>
      <c r="D69" s="120" t="s">
        <v>50</v>
      </c>
      <c r="E69" s="120" t="s">
        <v>1</v>
      </c>
      <c r="F69" s="121">
        <v>1215</v>
      </c>
      <c r="H69" s="81"/>
      <c r="I69" s="81"/>
      <c r="J69" s="81"/>
      <c r="K69" s="81"/>
      <c r="L69" s="81"/>
      <c r="M69" s="81"/>
    </row>
    <row r="70" spans="1:13" x14ac:dyDescent="0.25">
      <c r="A70" s="120" t="s">
        <v>951</v>
      </c>
      <c r="B70" s="120" t="s">
        <v>951</v>
      </c>
      <c r="C70" s="120" t="s">
        <v>52</v>
      </c>
      <c r="D70" s="120" t="s">
        <v>51</v>
      </c>
      <c r="E70" s="120" t="s">
        <v>3</v>
      </c>
      <c r="F70" s="121">
        <v>0</v>
      </c>
      <c r="H70" s="81"/>
      <c r="I70" s="81"/>
      <c r="J70" s="81"/>
      <c r="K70" s="81"/>
      <c r="L70" s="81"/>
      <c r="M70" s="81"/>
    </row>
    <row r="71" spans="1:13" x14ac:dyDescent="0.25">
      <c r="A71" s="120" t="s">
        <v>951</v>
      </c>
      <c r="B71" s="120" t="s">
        <v>951</v>
      </c>
      <c r="C71" s="120" t="s">
        <v>52</v>
      </c>
      <c r="D71" s="120" t="s">
        <v>51</v>
      </c>
      <c r="E71" s="120" t="s">
        <v>0</v>
      </c>
      <c r="F71" s="121">
        <v>0</v>
      </c>
      <c r="H71" s="81"/>
      <c r="I71" s="81"/>
      <c r="J71" s="81"/>
      <c r="K71" s="81"/>
      <c r="L71" s="81"/>
      <c r="M71" s="81"/>
    </row>
    <row r="72" spans="1:13" x14ac:dyDescent="0.25">
      <c r="A72" s="120" t="s">
        <v>951</v>
      </c>
      <c r="B72" s="120" t="s">
        <v>951</v>
      </c>
      <c r="C72" s="120" t="s">
        <v>52</v>
      </c>
      <c r="D72" s="120" t="s">
        <v>51</v>
      </c>
      <c r="E72" s="120" t="s">
        <v>2</v>
      </c>
      <c r="F72" s="121">
        <v>0</v>
      </c>
      <c r="H72" s="81"/>
      <c r="I72" s="81"/>
      <c r="J72" s="81"/>
      <c r="K72" s="81"/>
      <c r="L72" s="81"/>
      <c r="M72" s="81"/>
    </row>
    <row r="73" spans="1:13" x14ac:dyDescent="0.25">
      <c r="A73" s="120" t="s">
        <v>951</v>
      </c>
      <c r="B73" s="120" t="s">
        <v>951</v>
      </c>
      <c r="C73" s="120" t="s">
        <v>52</v>
      </c>
      <c r="D73" s="120" t="s">
        <v>51</v>
      </c>
      <c r="E73" s="120" t="s">
        <v>294</v>
      </c>
      <c r="F73" s="121">
        <v>0</v>
      </c>
      <c r="H73" s="81"/>
      <c r="I73" s="81"/>
      <c r="J73" s="81"/>
      <c r="K73" s="81"/>
      <c r="L73" s="81"/>
      <c r="M73" s="81"/>
    </row>
    <row r="74" spans="1:13" x14ac:dyDescent="0.25">
      <c r="A74" s="120" t="s">
        <v>951</v>
      </c>
      <c r="B74" s="120" t="s">
        <v>951</v>
      </c>
      <c r="C74" s="120" t="s">
        <v>52</v>
      </c>
      <c r="D74" s="120" t="s">
        <v>51</v>
      </c>
      <c r="E74" s="120" t="s">
        <v>1</v>
      </c>
      <c r="F74" s="121">
        <v>0</v>
      </c>
      <c r="H74" s="81"/>
      <c r="I74" s="81"/>
      <c r="J74" s="81"/>
      <c r="K74" s="81"/>
      <c r="L74" s="81"/>
      <c r="M74" s="81"/>
    </row>
    <row r="75" spans="1:13" x14ac:dyDescent="0.25">
      <c r="A75" s="120" t="s">
        <v>951</v>
      </c>
      <c r="B75" s="120" t="s">
        <v>951</v>
      </c>
      <c r="C75" s="120" t="s">
        <v>59</v>
      </c>
      <c r="D75" s="120" t="s">
        <v>58</v>
      </c>
      <c r="E75" s="120" t="s">
        <v>3</v>
      </c>
      <c r="F75" s="121">
        <v>60286</v>
      </c>
      <c r="H75" s="81"/>
      <c r="I75" s="81"/>
      <c r="J75" s="81"/>
      <c r="K75" s="81"/>
      <c r="L75" s="81"/>
      <c r="M75" s="81"/>
    </row>
    <row r="76" spans="1:13" x14ac:dyDescent="0.25">
      <c r="A76" s="120" t="s">
        <v>951</v>
      </c>
      <c r="B76" s="120" t="s">
        <v>951</v>
      </c>
      <c r="C76" s="120" t="s">
        <v>59</v>
      </c>
      <c r="D76" s="120" t="s">
        <v>58</v>
      </c>
      <c r="E76" s="120" t="s">
        <v>0</v>
      </c>
      <c r="F76" s="121">
        <v>49670</v>
      </c>
      <c r="H76" s="81"/>
      <c r="I76" s="81"/>
      <c r="J76" s="81"/>
      <c r="K76" s="81"/>
      <c r="L76" s="81"/>
      <c r="M76" s="81"/>
    </row>
    <row r="77" spans="1:13" x14ac:dyDescent="0.25">
      <c r="A77" s="120" t="s">
        <v>951</v>
      </c>
      <c r="B77" s="120" t="s">
        <v>951</v>
      </c>
      <c r="C77" s="120" t="s">
        <v>59</v>
      </c>
      <c r="D77" s="120" t="s">
        <v>58</v>
      </c>
      <c r="E77" s="120" t="s">
        <v>2</v>
      </c>
      <c r="F77" s="121">
        <v>60286</v>
      </c>
      <c r="H77" s="81"/>
      <c r="I77" s="81"/>
      <c r="J77" s="81"/>
      <c r="K77" s="81"/>
      <c r="L77" s="81"/>
      <c r="M77" s="81"/>
    </row>
    <row r="78" spans="1:13" x14ac:dyDescent="0.25">
      <c r="A78" s="120" t="s">
        <v>951</v>
      </c>
      <c r="B78" s="120" t="s">
        <v>951</v>
      </c>
      <c r="C78" s="120" t="s">
        <v>59</v>
      </c>
      <c r="D78" s="120" t="s">
        <v>58</v>
      </c>
      <c r="E78" s="120" t="s">
        <v>298</v>
      </c>
      <c r="F78" s="121">
        <v>60286</v>
      </c>
      <c r="H78" s="81"/>
      <c r="I78" s="81"/>
      <c r="J78" s="81"/>
      <c r="K78" s="81"/>
      <c r="L78" s="81"/>
      <c r="M78" s="81"/>
    </row>
    <row r="79" spans="1:13" x14ac:dyDescent="0.25">
      <c r="A79" s="120" t="s">
        <v>951</v>
      </c>
      <c r="B79" s="120" t="s">
        <v>951</v>
      </c>
      <c r="C79" s="120" t="s">
        <v>59</v>
      </c>
      <c r="D79" s="120" t="s">
        <v>58</v>
      </c>
      <c r="E79" s="120" t="s">
        <v>294</v>
      </c>
      <c r="F79" s="121">
        <v>60286</v>
      </c>
      <c r="H79" s="81"/>
      <c r="I79" s="81"/>
      <c r="J79" s="81"/>
      <c r="K79" s="81"/>
      <c r="L79" s="81"/>
      <c r="M79" s="81"/>
    </row>
    <row r="80" spans="1:13" x14ac:dyDescent="0.25">
      <c r="A80" s="120" t="s">
        <v>951</v>
      </c>
      <c r="B80" s="120" t="s">
        <v>951</v>
      </c>
      <c r="C80" s="120" t="s">
        <v>59</v>
      </c>
      <c r="D80" s="120" t="s">
        <v>58</v>
      </c>
      <c r="E80" s="120" t="s">
        <v>1</v>
      </c>
      <c r="F80" s="121">
        <v>49670</v>
      </c>
      <c r="H80" s="81"/>
      <c r="I80" s="81"/>
      <c r="J80" s="81"/>
      <c r="K80" s="81"/>
      <c r="L80" s="81"/>
      <c r="M80" s="81"/>
    </row>
    <row r="81" spans="1:13" x14ac:dyDescent="0.25">
      <c r="A81" s="120" t="s">
        <v>951</v>
      </c>
      <c r="B81" s="120" t="s">
        <v>951</v>
      </c>
      <c r="C81" s="120" t="s">
        <v>59</v>
      </c>
      <c r="D81" s="120" t="s">
        <v>61</v>
      </c>
      <c r="E81" s="120" t="s">
        <v>3</v>
      </c>
      <c r="F81" s="121">
        <v>8680</v>
      </c>
      <c r="H81" s="81"/>
      <c r="I81" s="81"/>
      <c r="J81" s="81"/>
      <c r="K81" s="81"/>
      <c r="L81" s="81"/>
      <c r="M81" s="81"/>
    </row>
    <row r="82" spans="1:13" x14ac:dyDescent="0.25">
      <c r="A82" s="120" t="s">
        <v>951</v>
      </c>
      <c r="B82" s="120" t="s">
        <v>951</v>
      </c>
      <c r="C82" s="120" t="s">
        <v>59</v>
      </c>
      <c r="D82" s="120" t="s">
        <v>61</v>
      </c>
      <c r="E82" s="120" t="s">
        <v>0</v>
      </c>
      <c r="F82" s="121">
        <v>8341</v>
      </c>
      <c r="H82" s="81"/>
      <c r="I82" s="81"/>
      <c r="J82" s="81"/>
      <c r="K82" s="81"/>
      <c r="L82" s="81"/>
      <c r="M82" s="81"/>
    </row>
    <row r="83" spans="1:13" x14ac:dyDescent="0.25">
      <c r="A83" s="120" t="s">
        <v>951</v>
      </c>
      <c r="B83" s="120" t="s">
        <v>951</v>
      </c>
      <c r="C83" s="120" t="s">
        <v>59</v>
      </c>
      <c r="D83" s="120" t="s">
        <v>61</v>
      </c>
      <c r="E83" s="120" t="s">
        <v>2</v>
      </c>
      <c r="F83" s="121">
        <v>8680</v>
      </c>
      <c r="H83" s="81"/>
      <c r="I83" s="81"/>
      <c r="J83" s="81"/>
      <c r="K83" s="81"/>
      <c r="L83" s="81"/>
      <c r="M83" s="81"/>
    </row>
    <row r="84" spans="1:13" x14ac:dyDescent="0.25">
      <c r="A84" s="120" t="s">
        <v>951</v>
      </c>
      <c r="B84" s="120" t="s">
        <v>951</v>
      </c>
      <c r="C84" s="120" t="s">
        <v>59</v>
      </c>
      <c r="D84" s="120" t="s">
        <v>61</v>
      </c>
      <c r="E84" s="120" t="s">
        <v>298</v>
      </c>
      <c r="F84" s="121">
        <v>8680</v>
      </c>
      <c r="H84" s="81"/>
      <c r="I84" s="81"/>
      <c r="J84" s="81"/>
      <c r="K84" s="81"/>
      <c r="L84" s="81"/>
      <c r="M84" s="81"/>
    </row>
    <row r="85" spans="1:13" x14ac:dyDescent="0.25">
      <c r="A85" s="120" t="s">
        <v>951</v>
      </c>
      <c r="B85" s="120" t="s">
        <v>951</v>
      </c>
      <c r="C85" s="120" t="s">
        <v>59</v>
      </c>
      <c r="D85" s="120" t="s">
        <v>61</v>
      </c>
      <c r="E85" s="120" t="s">
        <v>294</v>
      </c>
      <c r="F85" s="121">
        <v>8680</v>
      </c>
      <c r="H85" s="81"/>
      <c r="I85" s="81"/>
      <c r="J85" s="81"/>
      <c r="K85" s="81"/>
      <c r="L85" s="81"/>
      <c r="M85" s="81"/>
    </row>
    <row r="86" spans="1:13" x14ac:dyDescent="0.25">
      <c r="A86" s="120" t="s">
        <v>951</v>
      </c>
      <c r="B86" s="120" t="s">
        <v>951</v>
      </c>
      <c r="C86" s="120" t="s">
        <v>59</v>
      </c>
      <c r="D86" s="120" t="s">
        <v>61</v>
      </c>
      <c r="E86" s="120" t="s">
        <v>1</v>
      </c>
      <c r="F86" s="121">
        <v>8341</v>
      </c>
      <c r="H86" s="81"/>
      <c r="I86" s="81"/>
      <c r="J86" s="81"/>
      <c r="K86" s="81"/>
      <c r="L86" s="81"/>
      <c r="M86" s="81"/>
    </row>
    <row r="87" spans="1:13" x14ac:dyDescent="0.25">
      <c r="A87" s="120" t="s">
        <v>951</v>
      </c>
      <c r="B87" s="120" t="s">
        <v>951</v>
      </c>
      <c r="C87" s="120" t="s">
        <v>59</v>
      </c>
      <c r="D87" s="120" t="s">
        <v>62</v>
      </c>
      <c r="E87" s="120" t="s">
        <v>2</v>
      </c>
      <c r="F87" s="121">
        <v>0</v>
      </c>
      <c r="H87" s="81"/>
      <c r="I87" s="81"/>
      <c r="J87" s="81"/>
      <c r="K87" s="81"/>
      <c r="L87" s="81"/>
      <c r="M87" s="81"/>
    </row>
    <row r="88" spans="1:13" x14ac:dyDescent="0.25">
      <c r="A88" s="120" t="s">
        <v>951</v>
      </c>
      <c r="B88" s="120" t="s">
        <v>951</v>
      </c>
      <c r="C88" s="120" t="s">
        <v>59</v>
      </c>
      <c r="D88" s="120" t="s">
        <v>62</v>
      </c>
      <c r="E88" s="120" t="s">
        <v>294</v>
      </c>
      <c r="F88" s="121">
        <v>0</v>
      </c>
      <c r="H88" s="81"/>
      <c r="I88" s="81"/>
      <c r="J88" s="81"/>
      <c r="K88" s="81"/>
      <c r="L88" s="81"/>
      <c r="M88" s="81"/>
    </row>
    <row r="89" spans="1:13" x14ac:dyDescent="0.25">
      <c r="A89" s="120" t="s">
        <v>951</v>
      </c>
      <c r="B89" s="120" t="s">
        <v>951</v>
      </c>
      <c r="C89" s="120" t="s">
        <v>59</v>
      </c>
      <c r="D89" s="120" t="s">
        <v>62</v>
      </c>
      <c r="E89" s="120" t="s">
        <v>1</v>
      </c>
      <c r="F89" s="121">
        <v>0</v>
      </c>
      <c r="H89" s="81"/>
      <c r="I89" s="81"/>
      <c r="J89" s="81"/>
      <c r="K89" s="81"/>
      <c r="L89" s="81"/>
      <c r="M89" s="81"/>
    </row>
    <row r="90" spans="1:13" x14ac:dyDescent="0.25">
      <c r="A90" s="120" t="s">
        <v>951</v>
      </c>
      <c r="B90" s="120" t="s">
        <v>951</v>
      </c>
      <c r="C90" s="120" t="s">
        <v>59</v>
      </c>
      <c r="D90" s="120" t="s">
        <v>64</v>
      </c>
      <c r="E90" s="120" t="s">
        <v>3</v>
      </c>
      <c r="F90" s="121">
        <v>3943</v>
      </c>
      <c r="H90" s="81"/>
      <c r="I90" s="81"/>
      <c r="J90" s="81"/>
      <c r="K90" s="81"/>
      <c r="L90" s="81"/>
      <c r="M90" s="81"/>
    </row>
    <row r="91" spans="1:13" x14ac:dyDescent="0.25">
      <c r="A91" s="120" t="s">
        <v>951</v>
      </c>
      <c r="B91" s="120" t="s">
        <v>951</v>
      </c>
      <c r="C91" s="120" t="s">
        <v>59</v>
      </c>
      <c r="D91" s="120" t="s">
        <v>64</v>
      </c>
      <c r="E91" s="120" t="s">
        <v>0</v>
      </c>
      <c r="F91" s="121">
        <v>3943</v>
      </c>
      <c r="H91" s="81"/>
      <c r="I91" s="81"/>
      <c r="J91" s="81"/>
      <c r="K91" s="81"/>
      <c r="L91" s="81"/>
      <c r="M91" s="81"/>
    </row>
    <row r="92" spans="1:13" x14ac:dyDescent="0.25">
      <c r="A92" s="120" t="s">
        <v>951</v>
      </c>
      <c r="B92" s="120" t="s">
        <v>951</v>
      </c>
      <c r="C92" s="120" t="s">
        <v>59</v>
      </c>
      <c r="D92" s="120" t="s">
        <v>64</v>
      </c>
      <c r="E92" s="120" t="s">
        <v>2</v>
      </c>
      <c r="F92" s="121">
        <v>3943</v>
      </c>
      <c r="H92" s="81"/>
      <c r="I92" s="81"/>
      <c r="J92" s="81"/>
      <c r="K92" s="81"/>
      <c r="L92" s="81"/>
      <c r="M92" s="81"/>
    </row>
    <row r="93" spans="1:13" x14ac:dyDescent="0.25">
      <c r="A93" s="120" t="s">
        <v>951</v>
      </c>
      <c r="B93" s="120" t="s">
        <v>951</v>
      </c>
      <c r="C93" s="120" t="s">
        <v>59</v>
      </c>
      <c r="D93" s="120" t="s">
        <v>64</v>
      </c>
      <c r="E93" s="120" t="s">
        <v>298</v>
      </c>
      <c r="F93" s="121">
        <v>3943</v>
      </c>
      <c r="H93" s="81"/>
      <c r="I93" s="81"/>
      <c r="J93" s="81"/>
      <c r="K93" s="81"/>
      <c r="L93" s="81"/>
      <c r="M93" s="81"/>
    </row>
    <row r="94" spans="1:13" x14ac:dyDescent="0.25">
      <c r="A94" s="120" t="s">
        <v>951</v>
      </c>
      <c r="B94" s="120" t="s">
        <v>951</v>
      </c>
      <c r="C94" s="120" t="s">
        <v>59</v>
      </c>
      <c r="D94" s="120" t="s">
        <v>64</v>
      </c>
      <c r="E94" s="120" t="s">
        <v>294</v>
      </c>
      <c r="F94" s="121">
        <v>3491</v>
      </c>
      <c r="H94" s="81"/>
      <c r="I94" s="81"/>
      <c r="J94" s="81"/>
      <c r="K94" s="81"/>
      <c r="L94" s="81"/>
      <c r="M94" s="81"/>
    </row>
    <row r="95" spans="1:13" x14ac:dyDescent="0.25">
      <c r="A95" s="120" t="s">
        <v>951</v>
      </c>
      <c r="B95" s="120" t="s">
        <v>951</v>
      </c>
      <c r="C95" s="120" t="s">
        <v>59</v>
      </c>
      <c r="D95" s="120" t="s">
        <v>64</v>
      </c>
      <c r="E95" s="120" t="s">
        <v>1</v>
      </c>
      <c r="F95" s="121">
        <v>3943</v>
      </c>
      <c r="H95" s="81"/>
      <c r="I95" s="81"/>
      <c r="J95" s="81"/>
      <c r="K95" s="81"/>
      <c r="L95" s="81"/>
      <c r="M95" s="81"/>
    </row>
    <row r="96" spans="1:13" x14ac:dyDescent="0.25">
      <c r="A96" s="120" t="s">
        <v>951</v>
      </c>
      <c r="B96" s="120" t="s">
        <v>951</v>
      </c>
      <c r="C96" s="120" t="s">
        <v>59</v>
      </c>
      <c r="D96" s="120" t="s">
        <v>67</v>
      </c>
      <c r="E96" s="120" t="s">
        <v>3</v>
      </c>
      <c r="F96" s="121">
        <v>0</v>
      </c>
      <c r="H96" s="81"/>
      <c r="I96" s="81"/>
      <c r="J96" s="81"/>
      <c r="K96" s="81"/>
      <c r="L96" s="81"/>
      <c r="M96" s="81"/>
    </row>
    <row r="97" spans="1:13" x14ac:dyDescent="0.25">
      <c r="A97" s="120" t="s">
        <v>951</v>
      </c>
      <c r="B97" s="120" t="s">
        <v>951</v>
      </c>
      <c r="C97" s="120" t="s">
        <v>59</v>
      </c>
      <c r="D97" s="120" t="s">
        <v>67</v>
      </c>
      <c r="E97" s="120" t="s">
        <v>0</v>
      </c>
      <c r="F97" s="121">
        <v>0</v>
      </c>
      <c r="H97" s="81"/>
      <c r="I97" s="81"/>
      <c r="J97" s="81"/>
      <c r="K97" s="81"/>
      <c r="L97" s="81"/>
      <c r="M97" s="81"/>
    </row>
    <row r="98" spans="1:13" x14ac:dyDescent="0.25">
      <c r="A98" s="120" t="s">
        <v>951</v>
      </c>
      <c r="B98" s="120" t="s">
        <v>951</v>
      </c>
      <c r="C98" s="120" t="s">
        <v>59</v>
      </c>
      <c r="D98" s="120" t="s">
        <v>67</v>
      </c>
      <c r="E98" s="120" t="s">
        <v>2</v>
      </c>
      <c r="F98" s="121">
        <v>0</v>
      </c>
      <c r="H98" s="81"/>
      <c r="I98" s="81"/>
      <c r="J98" s="81"/>
      <c r="K98" s="81"/>
      <c r="L98" s="81"/>
      <c r="M98" s="81"/>
    </row>
    <row r="99" spans="1:13" x14ac:dyDescent="0.25">
      <c r="A99" s="120" t="s">
        <v>951</v>
      </c>
      <c r="B99" s="120" t="s">
        <v>951</v>
      </c>
      <c r="C99" s="120" t="s">
        <v>59</v>
      </c>
      <c r="D99" s="120" t="s">
        <v>67</v>
      </c>
      <c r="E99" s="120" t="s">
        <v>294</v>
      </c>
      <c r="F99" s="121">
        <v>0</v>
      </c>
      <c r="H99" s="81"/>
      <c r="I99" s="81"/>
      <c r="J99" s="81"/>
      <c r="K99" s="81"/>
      <c r="L99" s="81"/>
      <c r="M99" s="81"/>
    </row>
    <row r="100" spans="1:13" x14ac:dyDescent="0.25">
      <c r="A100" s="120" t="s">
        <v>951</v>
      </c>
      <c r="B100" s="120" t="s">
        <v>951</v>
      </c>
      <c r="C100" s="120" t="s">
        <v>59</v>
      </c>
      <c r="D100" s="120" t="s">
        <v>67</v>
      </c>
      <c r="E100" s="120" t="s">
        <v>1</v>
      </c>
      <c r="F100" s="121">
        <v>0</v>
      </c>
      <c r="H100" s="81"/>
      <c r="I100" s="81"/>
      <c r="J100" s="81"/>
      <c r="K100" s="81"/>
      <c r="L100" s="81"/>
      <c r="M100" s="81"/>
    </row>
    <row r="101" spans="1:13" x14ac:dyDescent="0.25">
      <c r="A101" s="120" t="s">
        <v>951</v>
      </c>
      <c r="B101" s="120" t="s">
        <v>951</v>
      </c>
      <c r="C101" s="120" t="s">
        <v>59</v>
      </c>
      <c r="D101" s="120" t="s">
        <v>68</v>
      </c>
      <c r="E101" s="120" t="s">
        <v>3</v>
      </c>
      <c r="F101" s="121">
        <v>992</v>
      </c>
      <c r="H101" s="81"/>
      <c r="I101" s="81"/>
      <c r="J101" s="81"/>
      <c r="K101" s="81"/>
      <c r="L101" s="81"/>
      <c r="M101" s="81"/>
    </row>
    <row r="102" spans="1:13" x14ac:dyDescent="0.25">
      <c r="A102" s="120" t="s">
        <v>951</v>
      </c>
      <c r="B102" s="120" t="s">
        <v>951</v>
      </c>
      <c r="C102" s="120" t="s">
        <v>59</v>
      </c>
      <c r="D102" s="120" t="s">
        <v>68</v>
      </c>
      <c r="E102" s="120" t="s">
        <v>0</v>
      </c>
      <c r="F102" s="121">
        <v>758</v>
      </c>
      <c r="H102" s="81"/>
      <c r="I102" s="81"/>
      <c r="J102" s="81"/>
      <c r="K102" s="81"/>
      <c r="L102" s="81"/>
      <c r="M102" s="81"/>
    </row>
    <row r="103" spans="1:13" x14ac:dyDescent="0.25">
      <c r="A103" s="120" t="s">
        <v>951</v>
      </c>
      <c r="B103" s="120" t="s">
        <v>951</v>
      </c>
      <c r="C103" s="120" t="s">
        <v>59</v>
      </c>
      <c r="D103" s="120" t="s">
        <v>68</v>
      </c>
      <c r="E103" s="120" t="s">
        <v>2</v>
      </c>
      <c r="F103" s="121">
        <v>992</v>
      </c>
      <c r="H103" s="81"/>
      <c r="I103" s="81"/>
      <c r="J103" s="81"/>
      <c r="K103" s="81"/>
      <c r="L103" s="81"/>
      <c r="M103" s="81"/>
    </row>
    <row r="104" spans="1:13" x14ac:dyDescent="0.25">
      <c r="A104" s="120" t="s">
        <v>951</v>
      </c>
      <c r="B104" s="120" t="s">
        <v>951</v>
      </c>
      <c r="C104" s="120" t="s">
        <v>59</v>
      </c>
      <c r="D104" s="120" t="s">
        <v>68</v>
      </c>
      <c r="E104" s="120" t="s">
        <v>298</v>
      </c>
      <c r="F104" s="121">
        <v>992</v>
      </c>
      <c r="H104" s="81"/>
      <c r="I104" s="81"/>
      <c r="J104" s="81"/>
      <c r="K104" s="81"/>
      <c r="L104" s="81"/>
      <c r="M104" s="81"/>
    </row>
    <row r="105" spans="1:13" x14ac:dyDescent="0.25">
      <c r="A105" s="120" t="s">
        <v>951</v>
      </c>
      <c r="B105" s="120" t="s">
        <v>951</v>
      </c>
      <c r="C105" s="120" t="s">
        <v>59</v>
      </c>
      <c r="D105" s="120" t="s">
        <v>68</v>
      </c>
      <c r="E105" s="120" t="s">
        <v>294</v>
      </c>
      <c r="F105" s="121">
        <v>992</v>
      </c>
      <c r="H105" s="81"/>
      <c r="I105" s="81"/>
      <c r="J105" s="81"/>
      <c r="K105" s="81"/>
      <c r="L105" s="81"/>
      <c r="M105" s="81"/>
    </row>
    <row r="106" spans="1:13" x14ac:dyDescent="0.25">
      <c r="A106" s="120" t="s">
        <v>951</v>
      </c>
      <c r="B106" s="120" t="s">
        <v>951</v>
      </c>
      <c r="C106" s="120" t="s">
        <v>59</v>
      </c>
      <c r="D106" s="120" t="s">
        <v>68</v>
      </c>
      <c r="E106" s="120" t="s">
        <v>1</v>
      </c>
      <c r="F106" s="121">
        <v>758</v>
      </c>
      <c r="H106" s="81"/>
      <c r="I106" s="81"/>
      <c r="J106" s="81"/>
      <c r="K106" s="81"/>
      <c r="L106" s="81"/>
      <c r="M106" s="81"/>
    </row>
    <row r="107" spans="1:13" x14ac:dyDescent="0.25">
      <c r="A107" s="120" t="s">
        <v>951</v>
      </c>
      <c r="B107" s="120" t="s">
        <v>951</v>
      </c>
      <c r="C107" s="120" t="s">
        <v>59</v>
      </c>
      <c r="D107" s="120" t="s">
        <v>69</v>
      </c>
      <c r="E107" s="120" t="s">
        <v>3</v>
      </c>
      <c r="F107" s="121">
        <v>0</v>
      </c>
      <c r="H107" s="81"/>
      <c r="I107" s="81"/>
      <c r="J107" s="81"/>
      <c r="K107" s="81"/>
      <c r="L107" s="81"/>
      <c r="M107" s="81"/>
    </row>
    <row r="108" spans="1:13" x14ac:dyDescent="0.25">
      <c r="A108" s="120" t="s">
        <v>951</v>
      </c>
      <c r="B108" s="120" t="s">
        <v>951</v>
      </c>
      <c r="C108" s="120" t="s">
        <v>59</v>
      </c>
      <c r="D108" s="120" t="s">
        <v>69</v>
      </c>
      <c r="E108" s="120" t="s">
        <v>0</v>
      </c>
      <c r="F108" s="121">
        <v>0</v>
      </c>
      <c r="H108" s="81"/>
      <c r="I108" s="81"/>
      <c r="J108" s="81"/>
      <c r="K108" s="81"/>
      <c r="L108" s="81"/>
      <c r="M108" s="81"/>
    </row>
    <row r="109" spans="1:13" x14ac:dyDescent="0.25">
      <c r="A109" s="120" t="s">
        <v>951</v>
      </c>
      <c r="B109" s="120" t="s">
        <v>951</v>
      </c>
      <c r="C109" s="120" t="s">
        <v>59</v>
      </c>
      <c r="D109" s="120" t="s">
        <v>69</v>
      </c>
      <c r="E109" s="120" t="s">
        <v>2</v>
      </c>
      <c r="F109" s="121">
        <v>0</v>
      </c>
      <c r="H109" s="81"/>
      <c r="I109" s="81"/>
      <c r="J109" s="81"/>
      <c r="K109" s="81"/>
      <c r="L109" s="81"/>
      <c r="M109" s="81"/>
    </row>
    <row r="110" spans="1:13" x14ac:dyDescent="0.25">
      <c r="A110" s="120" t="s">
        <v>951</v>
      </c>
      <c r="B110" s="120" t="s">
        <v>951</v>
      </c>
      <c r="C110" s="120" t="s">
        <v>59</v>
      </c>
      <c r="D110" s="120" t="s">
        <v>69</v>
      </c>
      <c r="E110" s="120" t="s">
        <v>294</v>
      </c>
      <c r="F110" s="121">
        <v>0</v>
      </c>
      <c r="H110" s="81"/>
      <c r="I110" s="81"/>
      <c r="J110" s="81"/>
      <c r="K110" s="81"/>
      <c r="L110" s="81"/>
      <c r="M110" s="81"/>
    </row>
    <row r="111" spans="1:13" x14ac:dyDescent="0.25">
      <c r="A111" s="120" t="s">
        <v>951</v>
      </c>
      <c r="B111" s="120" t="s">
        <v>951</v>
      </c>
      <c r="C111" s="120" t="s">
        <v>59</v>
      </c>
      <c r="D111" s="120" t="s">
        <v>69</v>
      </c>
      <c r="E111" s="120" t="s">
        <v>1</v>
      </c>
      <c r="F111" s="121">
        <v>0</v>
      </c>
      <c r="H111" s="81"/>
      <c r="I111" s="81"/>
      <c r="J111" s="81"/>
      <c r="K111" s="81"/>
      <c r="L111" s="81"/>
      <c r="M111" s="81"/>
    </row>
    <row r="112" spans="1:13" x14ac:dyDescent="0.25">
      <c r="A112" s="120" t="s">
        <v>951</v>
      </c>
      <c r="B112" s="120" t="s">
        <v>951</v>
      </c>
      <c r="C112" s="120" t="s">
        <v>59</v>
      </c>
      <c r="D112" s="120" t="s">
        <v>71</v>
      </c>
      <c r="E112" s="120" t="s">
        <v>3</v>
      </c>
      <c r="F112" s="121">
        <v>24461</v>
      </c>
      <c r="H112" s="81"/>
      <c r="I112" s="81"/>
      <c r="J112" s="81"/>
      <c r="K112" s="81"/>
      <c r="L112" s="81"/>
      <c r="M112" s="81"/>
    </row>
    <row r="113" spans="1:13" x14ac:dyDescent="0.25">
      <c r="A113" s="120" t="s">
        <v>951</v>
      </c>
      <c r="B113" s="120" t="s">
        <v>951</v>
      </c>
      <c r="C113" s="120" t="s">
        <v>59</v>
      </c>
      <c r="D113" s="120" t="s">
        <v>71</v>
      </c>
      <c r="E113" s="120" t="s">
        <v>0</v>
      </c>
      <c r="F113" s="121">
        <v>19244</v>
      </c>
      <c r="H113" s="81"/>
      <c r="I113" s="81"/>
      <c r="J113" s="81"/>
      <c r="K113" s="81"/>
      <c r="L113" s="81"/>
      <c r="M113" s="81"/>
    </row>
    <row r="114" spans="1:13" x14ac:dyDescent="0.25">
      <c r="A114" s="120" t="s">
        <v>951</v>
      </c>
      <c r="B114" s="120" t="s">
        <v>951</v>
      </c>
      <c r="C114" s="120" t="s">
        <v>59</v>
      </c>
      <c r="D114" s="120" t="s">
        <v>71</v>
      </c>
      <c r="E114" s="120" t="s">
        <v>2</v>
      </c>
      <c r="F114" s="121">
        <v>24461</v>
      </c>
      <c r="H114" s="81"/>
      <c r="I114" s="81"/>
      <c r="J114" s="81"/>
      <c r="K114" s="81"/>
      <c r="L114" s="81"/>
      <c r="M114" s="81"/>
    </row>
    <row r="115" spans="1:13" x14ac:dyDescent="0.25">
      <c r="A115" s="120" t="s">
        <v>951</v>
      </c>
      <c r="B115" s="120" t="s">
        <v>951</v>
      </c>
      <c r="C115" s="120" t="s">
        <v>59</v>
      </c>
      <c r="D115" s="120" t="s">
        <v>71</v>
      </c>
      <c r="E115" s="120" t="s">
        <v>298</v>
      </c>
      <c r="F115" s="121">
        <v>24461</v>
      </c>
      <c r="H115" s="81"/>
      <c r="I115" s="81"/>
      <c r="J115" s="81"/>
      <c r="K115" s="81"/>
      <c r="L115" s="81"/>
      <c r="M115" s="81"/>
    </row>
    <row r="116" spans="1:13" x14ac:dyDescent="0.25">
      <c r="A116" s="120" t="s">
        <v>951</v>
      </c>
      <c r="B116" s="120" t="s">
        <v>951</v>
      </c>
      <c r="C116" s="120" t="s">
        <v>59</v>
      </c>
      <c r="D116" s="120" t="s">
        <v>71</v>
      </c>
      <c r="E116" s="120" t="s">
        <v>294</v>
      </c>
      <c r="F116" s="121">
        <v>21717</v>
      </c>
      <c r="H116" s="81"/>
      <c r="I116" s="81"/>
      <c r="J116" s="81"/>
      <c r="K116" s="81"/>
      <c r="L116" s="81"/>
      <c r="M116" s="81"/>
    </row>
    <row r="117" spans="1:13" x14ac:dyDescent="0.25">
      <c r="A117" s="120" t="s">
        <v>951</v>
      </c>
      <c r="B117" s="120" t="s">
        <v>951</v>
      </c>
      <c r="C117" s="120" t="s">
        <v>59</v>
      </c>
      <c r="D117" s="120" t="s">
        <v>71</v>
      </c>
      <c r="E117" s="120" t="s">
        <v>1</v>
      </c>
      <c r="F117" s="121">
        <v>19244</v>
      </c>
      <c r="H117" s="81"/>
      <c r="I117" s="81"/>
      <c r="J117" s="81"/>
      <c r="K117" s="81"/>
      <c r="L117" s="81"/>
      <c r="M117" s="81"/>
    </row>
    <row r="118" spans="1:13" x14ac:dyDescent="0.25">
      <c r="A118" s="120" t="s">
        <v>951</v>
      </c>
      <c r="B118" s="120" t="s">
        <v>951</v>
      </c>
      <c r="C118" s="120" t="s">
        <v>59</v>
      </c>
      <c r="D118" s="120" t="s">
        <v>75</v>
      </c>
      <c r="E118" s="120" t="s">
        <v>3</v>
      </c>
      <c r="F118" s="121">
        <v>66848</v>
      </c>
      <c r="H118" s="81"/>
      <c r="I118" s="81"/>
      <c r="J118" s="81"/>
      <c r="K118" s="81"/>
      <c r="L118" s="81"/>
      <c r="M118" s="81"/>
    </row>
    <row r="119" spans="1:13" x14ac:dyDescent="0.25">
      <c r="A119" s="120" t="s">
        <v>951</v>
      </c>
      <c r="B119" s="120" t="s">
        <v>951</v>
      </c>
      <c r="C119" s="120" t="s">
        <v>59</v>
      </c>
      <c r="D119" s="120" t="s">
        <v>75</v>
      </c>
      <c r="E119" s="120" t="s">
        <v>0</v>
      </c>
      <c r="F119" s="121">
        <v>66848</v>
      </c>
      <c r="H119" s="81"/>
      <c r="I119" s="81"/>
      <c r="J119" s="81"/>
      <c r="K119" s="81"/>
      <c r="L119" s="81"/>
      <c r="M119" s="81"/>
    </row>
    <row r="120" spans="1:13" x14ac:dyDescent="0.25">
      <c r="A120" s="120" t="s">
        <v>951</v>
      </c>
      <c r="B120" s="120" t="s">
        <v>951</v>
      </c>
      <c r="C120" s="120" t="s">
        <v>59</v>
      </c>
      <c r="D120" s="120" t="s">
        <v>75</v>
      </c>
      <c r="E120" s="120" t="s">
        <v>2</v>
      </c>
      <c r="F120" s="121">
        <v>66848</v>
      </c>
      <c r="H120" s="81"/>
      <c r="I120" s="81"/>
      <c r="J120" s="81"/>
      <c r="K120" s="81"/>
      <c r="L120" s="81"/>
      <c r="M120" s="81"/>
    </row>
    <row r="121" spans="1:13" x14ac:dyDescent="0.25">
      <c r="A121" s="120" t="s">
        <v>951</v>
      </c>
      <c r="B121" s="120" t="s">
        <v>951</v>
      </c>
      <c r="C121" s="120" t="s">
        <v>59</v>
      </c>
      <c r="D121" s="120" t="s">
        <v>75</v>
      </c>
      <c r="E121" s="120" t="s">
        <v>298</v>
      </c>
      <c r="F121" s="121">
        <v>66848</v>
      </c>
      <c r="H121" s="81"/>
      <c r="I121" s="81"/>
      <c r="J121" s="81"/>
      <c r="K121" s="81"/>
      <c r="L121" s="81"/>
      <c r="M121" s="81"/>
    </row>
    <row r="122" spans="1:13" x14ac:dyDescent="0.25">
      <c r="A122" s="120" t="s">
        <v>951</v>
      </c>
      <c r="B122" s="120" t="s">
        <v>951</v>
      </c>
      <c r="C122" s="120" t="s">
        <v>59</v>
      </c>
      <c r="D122" s="120" t="s">
        <v>75</v>
      </c>
      <c r="E122" s="120" t="s">
        <v>294</v>
      </c>
      <c r="F122" s="121">
        <v>66848</v>
      </c>
      <c r="H122" s="81"/>
      <c r="I122" s="81"/>
      <c r="J122" s="81"/>
      <c r="K122" s="81"/>
      <c r="L122" s="81"/>
      <c r="M122" s="81"/>
    </row>
    <row r="123" spans="1:13" x14ac:dyDescent="0.25">
      <c r="A123" s="120" t="s">
        <v>951</v>
      </c>
      <c r="B123" s="120" t="s">
        <v>951</v>
      </c>
      <c r="C123" s="120" t="s">
        <v>59</v>
      </c>
      <c r="D123" s="120" t="s">
        <v>75</v>
      </c>
      <c r="E123" s="120" t="s">
        <v>1</v>
      </c>
      <c r="F123" s="121">
        <v>66848</v>
      </c>
      <c r="H123" s="81"/>
      <c r="I123" s="81"/>
      <c r="J123" s="81"/>
      <c r="K123" s="81"/>
      <c r="L123" s="81"/>
      <c r="M123" s="81"/>
    </row>
    <row r="124" spans="1:13" x14ac:dyDescent="0.25">
      <c r="A124" s="120" t="s">
        <v>951</v>
      </c>
      <c r="B124" s="120" t="s">
        <v>951</v>
      </c>
      <c r="C124" s="120" t="s">
        <v>78</v>
      </c>
      <c r="D124" s="120" t="s">
        <v>80</v>
      </c>
      <c r="E124" s="120" t="s">
        <v>3</v>
      </c>
      <c r="F124" s="121">
        <v>18904</v>
      </c>
      <c r="H124" s="81"/>
      <c r="I124" s="81"/>
      <c r="J124" s="81"/>
      <c r="K124" s="81"/>
      <c r="L124" s="81"/>
      <c r="M124" s="81"/>
    </row>
    <row r="125" spans="1:13" x14ac:dyDescent="0.25">
      <c r="A125" s="120" t="s">
        <v>951</v>
      </c>
      <c r="B125" s="120" t="s">
        <v>951</v>
      </c>
      <c r="C125" s="120" t="s">
        <v>78</v>
      </c>
      <c r="D125" s="120" t="s">
        <v>80</v>
      </c>
      <c r="E125" s="120" t="s">
        <v>0</v>
      </c>
      <c r="F125" s="121">
        <v>13295</v>
      </c>
      <c r="H125" s="81"/>
      <c r="I125" s="81"/>
      <c r="J125" s="81"/>
      <c r="K125" s="81"/>
      <c r="L125" s="81"/>
      <c r="M125" s="81"/>
    </row>
    <row r="126" spans="1:13" x14ac:dyDescent="0.25">
      <c r="A126" s="120" t="s">
        <v>951</v>
      </c>
      <c r="B126" s="120" t="s">
        <v>951</v>
      </c>
      <c r="C126" s="120" t="s">
        <v>78</v>
      </c>
      <c r="D126" s="120" t="s">
        <v>80</v>
      </c>
      <c r="E126" s="120" t="s">
        <v>2</v>
      </c>
      <c r="F126" s="121">
        <v>18904</v>
      </c>
      <c r="H126" s="81"/>
      <c r="I126" s="81"/>
      <c r="J126" s="81"/>
      <c r="K126" s="81"/>
      <c r="L126" s="81"/>
      <c r="M126" s="81"/>
    </row>
    <row r="127" spans="1:13" x14ac:dyDescent="0.25">
      <c r="A127" s="120" t="s">
        <v>951</v>
      </c>
      <c r="B127" s="120" t="s">
        <v>951</v>
      </c>
      <c r="C127" s="120" t="s">
        <v>78</v>
      </c>
      <c r="D127" s="120" t="s">
        <v>80</v>
      </c>
      <c r="E127" s="120" t="s">
        <v>298</v>
      </c>
      <c r="F127" s="121">
        <v>18904</v>
      </c>
      <c r="H127" s="81"/>
      <c r="I127" s="81"/>
      <c r="J127" s="81"/>
      <c r="K127" s="81"/>
      <c r="L127" s="81"/>
      <c r="M127" s="81"/>
    </row>
    <row r="128" spans="1:13" x14ac:dyDescent="0.25">
      <c r="A128" s="120" t="s">
        <v>951</v>
      </c>
      <c r="B128" s="120" t="s">
        <v>951</v>
      </c>
      <c r="C128" s="120" t="s">
        <v>78</v>
      </c>
      <c r="D128" s="120" t="s">
        <v>80</v>
      </c>
      <c r="E128" s="120" t="s">
        <v>294</v>
      </c>
      <c r="F128" s="121">
        <v>18904</v>
      </c>
      <c r="H128" s="81"/>
      <c r="I128" s="81"/>
      <c r="J128" s="81"/>
      <c r="K128" s="81"/>
      <c r="L128" s="81"/>
      <c r="M128" s="81"/>
    </row>
    <row r="129" spans="1:13" x14ac:dyDescent="0.25">
      <c r="A129" s="120" t="s">
        <v>951</v>
      </c>
      <c r="B129" s="120" t="s">
        <v>951</v>
      </c>
      <c r="C129" s="120" t="s">
        <v>78</v>
      </c>
      <c r="D129" s="120" t="s">
        <v>80</v>
      </c>
      <c r="E129" s="120" t="s">
        <v>1</v>
      </c>
      <c r="F129" s="121">
        <v>13295</v>
      </c>
      <c r="H129" s="81"/>
      <c r="I129" s="81"/>
      <c r="J129" s="81"/>
      <c r="K129" s="81"/>
      <c r="L129" s="81"/>
      <c r="M129" s="81"/>
    </row>
    <row r="130" spans="1:13" x14ac:dyDescent="0.25">
      <c r="A130" s="120" t="s">
        <v>951</v>
      </c>
      <c r="B130" s="120" t="s">
        <v>951</v>
      </c>
      <c r="C130" s="120" t="s">
        <v>82</v>
      </c>
      <c r="D130" s="120" t="s">
        <v>84</v>
      </c>
      <c r="E130" s="120" t="s">
        <v>3</v>
      </c>
      <c r="F130" s="121">
        <v>58955</v>
      </c>
      <c r="H130" s="81"/>
      <c r="I130" s="81"/>
      <c r="J130" s="81"/>
      <c r="K130" s="81"/>
      <c r="L130" s="81"/>
      <c r="M130" s="81"/>
    </row>
    <row r="131" spans="1:13" x14ac:dyDescent="0.25">
      <c r="A131" s="120" t="s">
        <v>951</v>
      </c>
      <c r="B131" s="120" t="s">
        <v>951</v>
      </c>
      <c r="C131" s="120" t="s">
        <v>82</v>
      </c>
      <c r="D131" s="120" t="s">
        <v>84</v>
      </c>
      <c r="E131" s="120" t="s">
        <v>0</v>
      </c>
      <c r="F131" s="121">
        <v>57369</v>
      </c>
      <c r="H131" s="81"/>
      <c r="I131" s="81"/>
      <c r="J131" s="81"/>
      <c r="K131" s="81"/>
      <c r="L131" s="81"/>
      <c r="M131" s="81"/>
    </row>
    <row r="132" spans="1:13" x14ac:dyDescent="0.25">
      <c r="A132" s="120" t="s">
        <v>951</v>
      </c>
      <c r="B132" s="120" t="s">
        <v>951</v>
      </c>
      <c r="C132" s="120" t="s">
        <v>82</v>
      </c>
      <c r="D132" s="120" t="s">
        <v>84</v>
      </c>
      <c r="E132" s="120" t="s">
        <v>2</v>
      </c>
      <c r="F132" s="121">
        <v>58955</v>
      </c>
      <c r="H132" s="81"/>
      <c r="I132" s="81"/>
      <c r="J132" s="81"/>
      <c r="K132" s="81"/>
      <c r="L132" s="81"/>
      <c r="M132" s="81"/>
    </row>
    <row r="133" spans="1:13" x14ac:dyDescent="0.25">
      <c r="A133" s="120" t="s">
        <v>951</v>
      </c>
      <c r="B133" s="120" t="s">
        <v>951</v>
      </c>
      <c r="C133" s="120" t="s">
        <v>82</v>
      </c>
      <c r="D133" s="120" t="s">
        <v>84</v>
      </c>
      <c r="E133" s="120" t="s">
        <v>298</v>
      </c>
      <c r="F133" s="121">
        <v>58955</v>
      </c>
      <c r="H133" s="81"/>
      <c r="I133" s="81"/>
      <c r="J133" s="81"/>
      <c r="K133" s="81"/>
      <c r="L133" s="81"/>
      <c r="M133" s="81"/>
    </row>
    <row r="134" spans="1:13" x14ac:dyDescent="0.25">
      <c r="A134" s="120" t="s">
        <v>951</v>
      </c>
      <c r="B134" s="120" t="s">
        <v>951</v>
      </c>
      <c r="C134" s="120" t="s">
        <v>82</v>
      </c>
      <c r="D134" s="120" t="s">
        <v>84</v>
      </c>
      <c r="E134" s="120" t="s">
        <v>294</v>
      </c>
      <c r="F134" s="121">
        <v>58955</v>
      </c>
      <c r="H134" s="81"/>
      <c r="I134" s="81"/>
      <c r="J134" s="81"/>
      <c r="K134" s="81"/>
      <c r="L134" s="81"/>
      <c r="M134" s="81"/>
    </row>
    <row r="135" spans="1:13" x14ac:dyDescent="0.25">
      <c r="A135" s="120" t="s">
        <v>951</v>
      </c>
      <c r="B135" s="120" t="s">
        <v>951</v>
      </c>
      <c r="C135" s="120" t="s">
        <v>82</v>
      </c>
      <c r="D135" s="120" t="s">
        <v>84</v>
      </c>
      <c r="E135" s="120" t="s">
        <v>1</v>
      </c>
      <c r="F135" s="121">
        <v>57369</v>
      </c>
      <c r="H135" s="81"/>
      <c r="I135" s="81"/>
      <c r="J135" s="81"/>
      <c r="K135" s="81"/>
      <c r="L135" s="81"/>
      <c r="M135" s="81"/>
    </row>
    <row r="136" spans="1:13" x14ac:dyDescent="0.25">
      <c r="A136" s="120" t="s">
        <v>951</v>
      </c>
      <c r="B136" s="120" t="s">
        <v>951</v>
      </c>
      <c r="C136" s="120" t="s">
        <v>82</v>
      </c>
      <c r="D136" s="120" t="s">
        <v>85</v>
      </c>
      <c r="E136" s="120" t="s">
        <v>3</v>
      </c>
      <c r="F136" s="121">
        <v>12130</v>
      </c>
      <c r="H136" s="81"/>
      <c r="I136" s="81"/>
      <c r="J136" s="81"/>
      <c r="K136" s="81"/>
      <c r="L136" s="81"/>
      <c r="M136" s="81"/>
    </row>
    <row r="137" spans="1:13" x14ac:dyDescent="0.25">
      <c r="A137" s="120" t="s">
        <v>951</v>
      </c>
      <c r="B137" s="120" t="s">
        <v>951</v>
      </c>
      <c r="C137" s="120" t="s">
        <v>82</v>
      </c>
      <c r="D137" s="120" t="s">
        <v>85</v>
      </c>
      <c r="E137" s="120" t="s">
        <v>0</v>
      </c>
      <c r="F137" s="121">
        <v>11285</v>
      </c>
      <c r="H137" s="81"/>
      <c r="I137" s="81"/>
      <c r="J137" s="81"/>
      <c r="K137" s="81"/>
      <c r="L137" s="81"/>
      <c r="M137" s="81"/>
    </row>
    <row r="138" spans="1:13" x14ac:dyDescent="0.25">
      <c r="A138" s="120" t="s">
        <v>951</v>
      </c>
      <c r="B138" s="120" t="s">
        <v>951</v>
      </c>
      <c r="C138" s="120" t="s">
        <v>82</v>
      </c>
      <c r="D138" s="120" t="s">
        <v>85</v>
      </c>
      <c r="E138" s="120" t="s">
        <v>2</v>
      </c>
      <c r="F138" s="121">
        <v>12130</v>
      </c>
      <c r="H138" s="81"/>
      <c r="I138" s="81"/>
      <c r="J138" s="81"/>
      <c r="K138" s="81"/>
      <c r="L138" s="81"/>
      <c r="M138" s="81"/>
    </row>
    <row r="139" spans="1:13" x14ac:dyDescent="0.25">
      <c r="A139" s="120" t="s">
        <v>951</v>
      </c>
      <c r="B139" s="120" t="s">
        <v>951</v>
      </c>
      <c r="C139" s="120" t="s">
        <v>82</v>
      </c>
      <c r="D139" s="120" t="s">
        <v>85</v>
      </c>
      <c r="E139" s="120" t="s">
        <v>298</v>
      </c>
      <c r="F139" s="121">
        <v>12130</v>
      </c>
      <c r="H139" s="81"/>
      <c r="I139" s="81"/>
      <c r="J139" s="81"/>
      <c r="K139" s="81"/>
      <c r="L139" s="81"/>
      <c r="M139" s="81"/>
    </row>
    <row r="140" spans="1:13" x14ac:dyDescent="0.25">
      <c r="A140" s="120" t="s">
        <v>951</v>
      </c>
      <c r="B140" s="120" t="s">
        <v>951</v>
      </c>
      <c r="C140" s="120" t="s">
        <v>82</v>
      </c>
      <c r="D140" s="120" t="s">
        <v>85</v>
      </c>
      <c r="E140" s="120" t="s">
        <v>294</v>
      </c>
      <c r="F140" s="121">
        <v>12130</v>
      </c>
      <c r="H140" s="81"/>
      <c r="I140" s="81"/>
      <c r="J140" s="81"/>
      <c r="K140" s="81"/>
      <c r="L140" s="81"/>
      <c r="M140" s="81"/>
    </row>
    <row r="141" spans="1:13" x14ac:dyDescent="0.25">
      <c r="A141" s="120" t="s">
        <v>951</v>
      </c>
      <c r="B141" s="120" t="s">
        <v>951</v>
      </c>
      <c r="C141" s="120" t="s">
        <v>82</v>
      </c>
      <c r="D141" s="120" t="s">
        <v>85</v>
      </c>
      <c r="E141" s="120" t="s">
        <v>1</v>
      </c>
      <c r="F141" s="121">
        <v>11285</v>
      </c>
      <c r="H141" s="81"/>
      <c r="I141" s="81"/>
      <c r="J141" s="81"/>
      <c r="K141" s="81"/>
      <c r="L141" s="81"/>
      <c r="M141" s="81"/>
    </row>
    <row r="142" spans="1:13" x14ac:dyDescent="0.25">
      <c r="A142" s="120" t="s">
        <v>951</v>
      </c>
      <c r="B142" s="120" t="s">
        <v>951</v>
      </c>
      <c r="C142" s="120" t="s">
        <v>87</v>
      </c>
      <c r="D142" s="120" t="s">
        <v>89</v>
      </c>
      <c r="E142" s="120" t="s">
        <v>3</v>
      </c>
      <c r="F142" s="121">
        <v>61661</v>
      </c>
      <c r="H142" s="81"/>
      <c r="I142" s="81"/>
      <c r="J142" s="81"/>
      <c r="K142" s="81"/>
      <c r="L142" s="81"/>
      <c r="M142" s="81"/>
    </row>
    <row r="143" spans="1:13" x14ac:dyDescent="0.25">
      <c r="A143" s="120" t="s">
        <v>951</v>
      </c>
      <c r="B143" s="120" t="s">
        <v>951</v>
      </c>
      <c r="C143" s="120" t="s">
        <v>87</v>
      </c>
      <c r="D143" s="120" t="s">
        <v>89</v>
      </c>
      <c r="E143" s="120" t="s">
        <v>0</v>
      </c>
      <c r="F143" s="121">
        <v>47604</v>
      </c>
      <c r="H143" s="81"/>
      <c r="I143" s="81"/>
      <c r="J143" s="81"/>
      <c r="K143" s="81"/>
      <c r="L143" s="81"/>
      <c r="M143" s="81"/>
    </row>
    <row r="144" spans="1:13" x14ac:dyDescent="0.25">
      <c r="A144" s="120" t="s">
        <v>951</v>
      </c>
      <c r="B144" s="120" t="s">
        <v>951</v>
      </c>
      <c r="C144" s="120" t="s">
        <v>87</v>
      </c>
      <c r="D144" s="120" t="s">
        <v>89</v>
      </c>
      <c r="E144" s="120" t="s">
        <v>2</v>
      </c>
      <c r="F144" s="121">
        <v>61661</v>
      </c>
      <c r="H144" s="81"/>
      <c r="I144" s="81"/>
      <c r="J144" s="81"/>
      <c r="K144" s="81"/>
      <c r="L144" s="81"/>
      <c r="M144" s="81"/>
    </row>
    <row r="145" spans="1:13" x14ac:dyDescent="0.25">
      <c r="A145" s="120" t="s">
        <v>951</v>
      </c>
      <c r="B145" s="120" t="s">
        <v>951</v>
      </c>
      <c r="C145" s="120" t="s">
        <v>87</v>
      </c>
      <c r="D145" s="120" t="s">
        <v>89</v>
      </c>
      <c r="E145" s="120" t="s">
        <v>298</v>
      </c>
      <c r="F145" s="121">
        <v>61661</v>
      </c>
      <c r="H145" s="81"/>
      <c r="I145" s="81"/>
      <c r="J145" s="81"/>
      <c r="K145" s="81"/>
      <c r="L145" s="81"/>
      <c r="M145" s="81"/>
    </row>
    <row r="146" spans="1:13" x14ac:dyDescent="0.25">
      <c r="A146" s="120" t="s">
        <v>951</v>
      </c>
      <c r="B146" s="120" t="s">
        <v>951</v>
      </c>
      <c r="C146" s="120" t="s">
        <v>87</v>
      </c>
      <c r="D146" s="120" t="s">
        <v>89</v>
      </c>
      <c r="E146" s="120" t="s">
        <v>294</v>
      </c>
      <c r="F146" s="121">
        <v>61652</v>
      </c>
      <c r="H146" s="81"/>
      <c r="I146" s="81"/>
      <c r="J146" s="81"/>
      <c r="K146" s="81"/>
      <c r="L146" s="81"/>
      <c r="M146" s="81"/>
    </row>
    <row r="147" spans="1:13" x14ac:dyDescent="0.25">
      <c r="A147" s="120" t="s">
        <v>951</v>
      </c>
      <c r="B147" s="120" t="s">
        <v>951</v>
      </c>
      <c r="C147" s="120" t="s">
        <v>87</v>
      </c>
      <c r="D147" s="120" t="s">
        <v>89</v>
      </c>
      <c r="E147" s="120" t="s">
        <v>1</v>
      </c>
      <c r="F147" s="121">
        <v>47604</v>
      </c>
      <c r="H147" s="81"/>
      <c r="I147" s="81"/>
      <c r="J147" s="81"/>
      <c r="K147" s="81"/>
      <c r="L147" s="81"/>
      <c r="M147" s="81"/>
    </row>
    <row r="148" spans="1:13" x14ac:dyDescent="0.25">
      <c r="A148" s="120" t="s">
        <v>951</v>
      </c>
      <c r="B148" s="120" t="s">
        <v>951</v>
      </c>
      <c r="C148" s="120" t="s">
        <v>87</v>
      </c>
      <c r="D148" s="120" t="s">
        <v>90</v>
      </c>
      <c r="E148" s="120" t="s">
        <v>3</v>
      </c>
      <c r="F148" s="121">
        <v>2419</v>
      </c>
      <c r="H148" s="81"/>
      <c r="I148" s="81"/>
      <c r="J148" s="81"/>
      <c r="K148" s="81"/>
      <c r="L148" s="81"/>
      <c r="M148" s="81"/>
    </row>
    <row r="149" spans="1:13" x14ac:dyDescent="0.25">
      <c r="A149" s="120" t="s">
        <v>951</v>
      </c>
      <c r="B149" s="120" t="s">
        <v>951</v>
      </c>
      <c r="C149" s="120" t="s">
        <v>87</v>
      </c>
      <c r="D149" s="120" t="s">
        <v>90</v>
      </c>
      <c r="E149" s="120" t="s">
        <v>0</v>
      </c>
      <c r="F149" s="121">
        <v>1271</v>
      </c>
      <c r="H149" s="81"/>
      <c r="I149" s="81"/>
      <c r="J149" s="81"/>
      <c r="K149" s="81"/>
      <c r="L149" s="81"/>
      <c r="M149" s="81"/>
    </row>
    <row r="150" spans="1:13" x14ac:dyDescent="0.25">
      <c r="A150" s="120" t="s">
        <v>951</v>
      </c>
      <c r="B150" s="120" t="s">
        <v>951</v>
      </c>
      <c r="C150" s="120" t="s">
        <v>87</v>
      </c>
      <c r="D150" s="120" t="s">
        <v>90</v>
      </c>
      <c r="E150" s="120" t="s">
        <v>2</v>
      </c>
      <c r="F150" s="121">
        <v>2419</v>
      </c>
      <c r="H150" s="81"/>
      <c r="I150" s="81"/>
      <c r="J150" s="81"/>
      <c r="K150" s="81"/>
      <c r="L150" s="81"/>
      <c r="M150" s="81"/>
    </row>
    <row r="151" spans="1:13" x14ac:dyDescent="0.25">
      <c r="A151" s="120" t="s">
        <v>951</v>
      </c>
      <c r="B151" s="120" t="s">
        <v>951</v>
      </c>
      <c r="C151" s="120" t="s">
        <v>87</v>
      </c>
      <c r="D151" s="120" t="s">
        <v>90</v>
      </c>
      <c r="E151" s="120" t="s">
        <v>298</v>
      </c>
      <c r="F151" s="121">
        <v>2419</v>
      </c>
      <c r="H151" s="81"/>
      <c r="I151" s="81"/>
      <c r="J151" s="81"/>
      <c r="K151" s="81"/>
      <c r="L151" s="81"/>
      <c r="M151" s="81"/>
    </row>
    <row r="152" spans="1:13" x14ac:dyDescent="0.25">
      <c r="A152" s="120" t="s">
        <v>951</v>
      </c>
      <c r="B152" s="120" t="s">
        <v>951</v>
      </c>
      <c r="C152" s="120" t="s">
        <v>87</v>
      </c>
      <c r="D152" s="120" t="s">
        <v>90</v>
      </c>
      <c r="E152" s="120" t="s">
        <v>294</v>
      </c>
      <c r="F152" s="121">
        <v>2419</v>
      </c>
      <c r="H152" s="81"/>
      <c r="I152" s="81"/>
      <c r="J152" s="81"/>
      <c r="K152" s="81"/>
      <c r="L152" s="81"/>
      <c r="M152" s="81"/>
    </row>
    <row r="153" spans="1:13" x14ac:dyDescent="0.25">
      <c r="A153" s="120" t="s">
        <v>951</v>
      </c>
      <c r="B153" s="120" t="s">
        <v>951</v>
      </c>
      <c r="C153" s="120" t="s">
        <v>87</v>
      </c>
      <c r="D153" s="120" t="s">
        <v>90</v>
      </c>
      <c r="E153" s="120" t="s">
        <v>1</v>
      </c>
      <c r="F153" s="121">
        <v>1271</v>
      </c>
      <c r="H153" s="81"/>
      <c r="I153" s="81"/>
      <c r="J153" s="81"/>
      <c r="K153" s="81"/>
      <c r="L153" s="81"/>
      <c r="M153" s="81"/>
    </row>
    <row r="154" spans="1:13" x14ac:dyDescent="0.25">
      <c r="A154" s="120" t="s">
        <v>951</v>
      </c>
      <c r="B154" s="120" t="s">
        <v>951</v>
      </c>
      <c r="C154" s="120" t="s">
        <v>87</v>
      </c>
      <c r="D154" s="120" t="s">
        <v>91</v>
      </c>
      <c r="E154" s="120" t="s">
        <v>3</v>
      </c>
      <c r="F154" s="121">
        <v>68136</v>
      </c>
      <c r="H154" s="81"/>
      <c r="I154" s="81"/>
      <c r="J154" s="81"/>
      <c r="K154" s="81"/>
      <c r="L154" s="81"/>
      <c r="M154" s="81"/>
    </row>
    <row r="155" spans="1:13" x14ac:dyDescent="0.25">
      <c r="A155" s="120" t="s">
        <v>951</v>
      </c>
      <c r="B155" s="120" t="s">
        <v>951</v>
      </c>
      <c r="C155" s="120" t="s">
        <v>87</v>
      </c>
      <c r="D155" s="120" t="s">
        <v>91</v>
      </c>
      <c r="E155" s="120" t="s">
        <v>0</v>
      </c>
      <c r="F155" s="121">
        <v>48394</v>
      </c>
      <c r="H155" s="81"/>
      <c r="I155" s="81"/>
      <c r="J155" s="81"/>
      <c r="K155" s="81"/>
      <c r="L155" s="81"/>
      <c r="M155" s="81"/>
    </row>
    <row r="156" spans="1:13" x14ac:dyDescent="0.25">
      <c r="A156" s="120" t="s">
        <v>951</v>
      </c>
      <c r="B156" s="120" t="s">
        <v>951</v>
      </c>
      <c r="C156" s="120" t="s">
        <v>87</v>
      </c>
      <c r="D156" s="120" t="s">
        <v>91</v>
      </c>
      <c r="E156" s="120" t="s">
        <v>2</v>
      </c>
      <c r="F156" s="121">
        <v>68136</v>
      </c>
      <c r="H156" s="81"/>
      <c r="I156" s="81"/>
      <c r="J156" s="81"/>
      <c r="K156" s="81"/>
      <c r="L156" s="81"/>
      <c r="M156" s="81"/>
    </row>
    <row r="157" spans="1:13" x14ac:dyDescent="0.25">
      <c r="A157" s="120" t="s">
        <v>951</v>
      </c>
      <c r="B157" s="120" t="s">
        <v>951</v>
      </c>
      <c r="C157" s="120" t="s">
        <v>87</v>
      </c>
      <c r="D157" s="120" t="s">
        <v>91</v>
      </c>
      <c r="E157" s="120" t="s">
        <v>298</v>
      </c>
      <c r="F157" s="121">
        <v>68136</v>
      </c>
      <c r="H157" s="81"/>
      <c r="I157" s="81"/>
      <c r="J157" s="81"/>
      <c r="K157" s="81"/>
      <c r="L157" s="81"/>
      <c r="M157" s="81"/>
    </row>
    <row r="158" spans="1:13" x14ac:dyDescent="0.25">
      <c r="A158" s="120" t="s">
        <v>951</v>
      </c>
      <c r="B158" s="120" t="s">
        <v>951</v>
      </c>
      <c r="C158" s="120" t="s">
        <v>87</v>
      </c>
      <c r="D158" s="120" t="s">
        <v>91</v>
      </c>
      <c r="E158" s="120" t="s">
        <v>294</v>
      </c>
      <c r="F158" s="121">
        <v>68136</v>
      </c>
      <c r="H158" s="81"/>
      <c r="I158" s="81"/>
      <c r="J158" s="81"/>
      <c r="K158" s="81"/>
      <c r="L158" s="81"/>
      <c r="M158" s="81"/>
    </row>
    <row r="159" spans="1:13" x14ac:dyDescent="0.25">
      <c r="A159" s="120" t="s">
        <v>951</v>
      </c>
      <c r="B159" s="120" t="s">
        <v>951</v>
      </c>
      <c r="C159" s="120" t="s">
        <v>87</v>
      </c>
      <c r="D159" s="120" t="s">
        <v>91</v>
      </c>
      <c r="E159" s="120" t="s">
        <v>1</v>
      </c>
      <c r="F159" s="121">
        <v>48394</v>
      </c>
      <c r="H159" s="81"/>
      <c r="I159" s="81"/>
      <c r="J159" s="81"/>
      <c r="K159" s="81"/>
      <c r="L159" s="81"/>
      <c r="M159" s="81"/>
    </row>
    <row r="160" spans="1:13" x14ac:dyDescent="0.25">
      <c r="A160" s="120" t="s">
        <v>951</v>
      </c>
      <c r="B160" s="120" t="s">
        <v>951</v>
      </c>
      <c r="C160" s="120" t="s">
        <v>87</v>
      </c>
      <c r="D160" s="120" t="s">
        <v>92</v>
      </c>
      <c r="E160" s="120" t="s">
        <v>3</v>
      </c>
      <c r="F160" s="121">
        <v>0</v>
      </c>
      <c r="H160" s="81"/>
      <c r="I160" s="81"/>
      <c r="J160" s="81"/>
      <c r="K160" s="81"/>
      <c r="L160" s="81"/>
      <c r="M160" s="81"/>
    </row>
    <row r="161" spans="1:13" x14ac:dyDescent="0.25">
      <c r="A161" s="120" t="s">
        <v>951</v>
      </c>
      <c r="B161" s="120" t="s">
        <v>951</v>
      </c>
      <c r="C161" s="120" t="s">
        <v>87</v>
      </c>
      <c r="D161" s="120" t="s">
        <v>92</v>
      </c>
      <c r="E161" s="120" t="s">
        <v>0</v>
      </c>
      <c r="F161" s="121">
        <v>0</v>
      </c>
      <c r="H161" s="81"/>
      <c r="I161" s="81"/>
      <c r="J161" s="81"/>
      <c r="K161" s="81"/>
      <c r="L161" s="81"/>
      <c r="M161" s="81"/>
    </row>
    <row r="162" spans="1:13" x14ac:dyDescent="0.25">
      <c r="A162" s="120" t="s">
        <v>951</v>
      </c>
      <c r="B162" s="120" t="s">
        <v>951</v>
      </c>
      <c r="C162" s="120" t="s">
        <v>87</v>
      </c>
      <c r="D162" s="120" t="s">
        <v>92</v>
      </c>
      <c r="E162" s="120" t="s">
        <v>2</v>
      </c>
      <c r="F162" s="121">
        <v>0</v>
      </c>
      <c r="H162" s="81"/>
      <c r="I162" s="81"/>
      <c r="J162" s="81"/>
      <c r="K162" s="81"/>
      <c r="L162" s="81"/>
      <c r="M162" s="81"/>
    </row>
    <row r="163" spans="1:13" x14ac:dyDescent="0.25">
      <c r="A163" s="120" t="s">
        <v>951</v>
      </c>
      <c r="B163" s="120" t="s">
        <v>951</v>
      </c>
      <c r="C163" s="120" t="s">
        <v>87</v>
      </c>
      <c r="D163" s="120" t="s">
        <v>92</v>
      </c>
      <c r="E163" s="120" t="s">
        <v>294</v>
      </c>
      <c r="F163" s="121">
        <v>0</v>
      </c>
      <c r="H163" s="81"/>
      <c r="I163" s="81"/>
      <c r="J163" s="81"/>
      <c r="K163" s="81"/>
      <c r="L163" s="81"/>
      <c r="M163" s="81"/>
    </row>
    <row r="164" spans="1:13" x14ac:dyDescent="0.25">
      <c r="A164" s="120" t="s">
        <v>951</v>
      </c>
      <c r="B164" s="120" t="s">
        <v>951</v>
      </c>
      <c r="C164" s="120" t="s">
        <v>87</v>
      </c>
      <c r="D164" s="120" t="s">
        <v>92</v>
      </c>
      <c r="E164" s="120" t="s">
        <v>1</v>
      </c>
      <c r="F164" s="121">
        <v>0</v>
      </c>
      <c r="H164" s="81"/>
      <c r="I164" s="81"/>
      <c r="J164" s="81"/>
      <c r="K164" s="81"/>
      <c r="L164" s="81"/>
      <c r="M164" s="81"/>
    </row>
    <row r="165" spans="1:13" x14ac:dyDescent="0.25">
      <c r="A165" s="120" t="s">
        <v>951</v>
      </c>
      <c r="B165" s="120" t="s">
        <v>951</v>
      </c>
      <c r="C165" s="120" t="s">
        <v>87</v>
      </c>
      <c r="D165" s="120" t="s">
        <v>94</v>
      </c>
      <c r="E165" s="120" t="s">
        <v>3</v>
      </c>
      <c r="F165" s="121">
        <v>211</v>
      </c>
      <c r="H165" s="81"/>
      <c r="I165" s="81"/>
      <c r="J165" s="81"/>
      <c r="K165" s="81"/>
      <c r="L165" s="81"/>
      <c r="M165" s="81"/>
    </row>
    <row r="166" spans="1:13" x14ac:dyDescent="0.25">
      <c r="A166" s="120" t="s">
        <v>951</v>
      </c>
      <c r="B166" s="120" t="s">
        <v>951</v>
      </c>
      <c r="C166" s="120" t="s">
        <v>87</v>
      </c>
      <c r="D166" s="120" t="s">
        <v>94</v>
      </c>
      <c r="E166" s="120" t="s">
        <v>0</v>
      </c>
      <c r="F166" s="121">
        <v>158</v>
      </c>
      <c r="H166" s="81"/>
      <c r="I166" s="81"/>
      <c r="J166" s="81"/>
      <c r="K166" s="81"/>
      <c r="L166" s="81"/>
      <c r="M166" s="81"/>
    </row>
    <row r="167" spans="1:13" x14ac:dyDescent="0.25">
      <c r="A167" s="120" t="s">
        <v>951</v>
      </c>
      <c r="B167" s="120" t="s">
        <v>951</v>
      </c>
      <c r="C167" s="120" t="s">
        <v>87</v>
      </c>
      <c r="D167" s="120" t="s">
        <v>94</v>
      </c>
      <c r="E167" s="120" t="s">
        <v>2</v>
      </c>
      <c r="F167" s="121">
        <v>211</v>
      </c>
      <c r="H167" s="81"/>
      <c r="I167" s="81"/>
      <c r="J167" s="81"/>
      <c r="K167" s="81"/>
      <c r="L167" s="81"/>
      <c r="M167" s="81"/>
    </row>
    <row r="168" spans="1:13" x14ac:dyDescent="0.25">
      <c r="A168" s="120" t="s">
        <v>951</v>
      </c>
      <c r="B168" s="120" t="s">
        <v>951</v>
      </c>
      <c r="C168" s="120" t="s">
        <v>87</v>
      </c>
      <c r="D168" s="120" t="s">
        <v>94</v>
      </c>
      <c r="E168" s="120" t="s">
        <v>298</v>
      </c>
      <c r="F168" s="121">
        <v>211</v>
      </c>
      <c r="H168" s="81"/>
      <c r="I168" s="81"/>
      <c r="J168" s="81"/>
      <c r="K168" s="81"/>
      <c r="L168" s="81"/>
      <c r="M168" s="81"/>
    </row>
    <row r="169" spans="1:13" x14ac:dyDescent="0.25">
      <c r="A169" s="120" t="s">
        <v>951</v>
      </c>
      <c r="B169" s="120" t="s">
        <v>951</v>
      </c>
      <c r="C169" s="120" t="s">
        <v>87</v>
      </c>
      <c r="D169" s="120" t="s">
        <v>94</v>
      </c>
      <c r="E169" s="120" t="s">
        <v>294</v>
      </c>
      <c r="F169" s="121">
        <v>211</v>
      </c>
      <c r="H169" s="81"/>
      <c r="I169" s="81"/>
      <c r="J169" s="81"/>
      <c r="K169" s="81"/>
      <c r="L169" s="81"/>
      <c r="M169" s="81"/>
    </row>
    <row r="170" spans="1:13" x14ac:dyDescent="0.25">
      <c r="A170" s="120" t="s">
        <v>951</v>
      </c>
      <c r="B170" s="120" t="s">
        <v>951</v>
      </c>
      <c r="C170" s="120" t="s">
        <v>87</v>
      </c>
      <c r="D170" s="120" t="s">
        <v>94</v>
      </c>
      <c r="E170" s="120" t="s">
        <v>1</v>
      </c>
      <c r="F170" s="121">
        <v>158</v>
      </c>
      <c r="H170" s="81"/>
      <c r="I170" s="81"/>
      <c r="J170" s="81"/>
      <c r="K170" s="81"/>
      <c r="L170" s="81"/>
      <c r="M170" s="81"/>
    </row>
    <row r="171" spans="1:13" x14ac:dyDescent="0.25">
      <c r="A171" s="120" t="s">
        <v>951</v>
      </c>
      <c r="B171" s="120" t="s">
        <v>951</v>
      </c>
      <c r="C171" s="120" t="s">
        <v>87</v>
      </c>
      <c r="D171" s="120" t="s">
        <v>95</v>
      </c>
      <c r="E171" s="120" t="s">
        <v>3</v>
      </c>
      <c r="F171" s="121">
        <v>568</v>
      </c>
      <c r="H171" s="81"/>
      <c r="I171" s="81"/>
      <c r="J171" s="81"/>
      <c r="K171" s="81"/>
      <c r="L171" s="81"/>
      <c r="M171" s="81"/>
    </row>
    <row r="172" spans="1:13" x14ac:dyDescent="0.25">
      <c r="A172" s="120" t="s">
        <v>951</v>
      </c>
      <c r="B172" s="120" t="s">
        <v>951</v>
      </c>
      <c r="C172" s="120" t="s">
        <v>87</v>
      </c>
      <c r="D172" s="120" t="s">
        <v>95</v>
      </c>
      <c r="E172" s="120" t="s">
        <v>0</v>
      </c>
      <c r="F172" s="121">
        <v>568</v>
      </c>
      <c r="H172" s="81"/>
      <c r="I172" s="81"/>
      <c r="J172" s="81"/>
      <c r="K172" s="81"/>
      <c r="L172" s="81"/>
      <c r="M172" s="81"/>
    </row>
    <row r="173" spans="1:13" x14ac:dyDescent="0.25">
      <c r="A173" s="120" t="s">
        <v>951</v>
      </c>
      <c r="B173" s="120" t="s">
        <v>951</v>
      </c>
      <c r="C173" s="120" t="s">
        <v>87</v>
      </c>
      <c r="D173" s="120" t="s">
        <v>95</v>
      </c>
      <c r="E173" s="120" t="s">
        <v>2</v>
      </c>
      <c r="F173" s="121">
        <v>568</v>
      </c>
      <c r="H173" s="81"/>
      <c r="I173" s="81"/>
      <c r="J173" s="81"/>
      <c r="K173" s="81"/>
      <c r="L173" s="81"/>
      <c r="M173" s="81"/>
    </row>
    <row r="174" spans="1:13" x14ac:dyDescent="0.25">
      <c r="A174" s="120" t="s">
        <v>951</v>
      </c>
      <c r="B174" s="120" t="s">
        <v>951</v>
      </c>
      <c r="C174" s="120" t="s">
        <v>87</v>
      </c>
      <c r="D174" s="120" t="s">
        <v>95</v>
      </c>
      <c r="E174" s="120" t="s">
        <v>298</v>
      </c>
      <c r="F174" s="121">
        <v>568</v>
      </c>
      <c r="H174" s="81"/>
      <c r="I174" s="81"/>
      <c r="J174" s="81"/>
      <c r="K174" s="81"/>
      <c r="L174" s="81"/>
      <c r="M174" s="81"/>
    </row>
    <row r="175" spans="1:13" x14ac:dyDescent="0.25">
      <c r="A175" s="120" t="s">
        <v>951</v>
      </c>
      <c r="B175" s="120" t="s">
        <v>951</v>
      </c>
      <c r="C175" s="120" t="s">
        <v>87</v>
      </c>
      <c r="D175" s="120" t="s">
        <v>95</v>
      </c>
      <c r="E175" s="120" t="s">
        <v>294</v>
      </c>
      <c r="F175" s="121">
        <v>568</v>
      </c>
      <c r="H175" s="81"/>
      <c r="I175" s="81"/>
      <c r="J175" s="81"/>
      <c r="K175" s="81"/>
      <c r="L175" s="81"/>
      <c r="M175" s="81"/>
    </row>
    <row r="176" spans="1:13" x14ac:dyDescent="0.25">
      <c r="A176" s="120" t="s">
        <v>951</v>
      </c>
      <c r="B176" s="120" t="s">
        <v>951</v>
      </c>
      <c r="C176" s="120" t="s">
        <v>87</v>
      </c>
      <c r="D176" s="120" t="s">
        <v>95</v>
      </c>
      <c r="E176" s="120" t="s">
        <v>1</v>
      </c>
      <c r="F176" s="121">
        <v>568</v>
      </c>
      <c r="H176" s="81"/>
      <c r="I176" s="81"/>
      <c r="J176" s="81"/>
      <c r="K176" s="81"/>
      <c r="L176" s="81"/>
      <c r="M176" s="81"/>
    </row>
    <row r="177" spans="1:13" x14ac:dyDescent="0.25">
      <c r="A177" s="120" t="s">
        <v>951</v>
      </c>
      <c r="B177" s="120" t="s">
        <v>951</v>
      </c>
      <c r="C177" s="120" t="s">
        <v>87</v>
      </c>
      <c r="D177" s="120" t="s">
        <v>97</v>
      </c>
      <c r="E177" s="120" t="s">
        <v>3</v>
      </c>
      <c r="F177" s="121">
        <v>30942</v>
      </c>
      <c r="H177" s="81"/>
      <c r="I177" s="81"/>
      <c r="J177" s="81"/>
      <c r="K177" s="81"/>
      <c r="L177" s="81"/>
      <c r="M177" s="81"/>
    </row>
    <row r="178" spans="1:13" x14ac:dyDescent="0.25">
      <c r="A178" s="120" t="s">
        <v>951</v>
      </c>
      <c r="B178" s="120" t="s">
        <v>951</v>
      </c>
      <c r="C178" s="120" t="s">
        <v>87</v>
      </c>
      <c r="D178" s="120" t="s">
        <v>97</v>
      </c>
      <c r="E178" s="120" t="s">
        <v>0</v>
      </c>
      <c r="F178" s="121">
        <v>23662</v>
      </c>
      <c r="H178" s="81"/>
      <c r="I178" s="81"/>
      <c r="J178" s="81"/>
      <c r="K178" s="81"/>
      <c r="L178" s="81"/>
      <c r="M178" s="81"/>
    </row>
    <row r="179" spans="1:13" x14ac:dyDescent="0.25">
      <c r="A179" s="120" t="s">
        <v>951</v>
      </c>
      <c r="B179" s="120" t="s">
        <v>951</v>
      </c>
      <c r="C179" s="120" t="s">
        <v>87</v>
      </c>
      <c r="D179" s="120" t="s">
        <v>97</v>
      </c>
      <c r="E179" s="120" t="s">
        <v>2</v>
      </c>
      <c r="F179" s="121">
        <v>30942</v>
      </c>
      <c r="H179" s="81"/>
      <c r="I179" s="81"/>
      <c r="J179" s="81"/>
      <c r="K179" s="81"/>
      <c r="L179" s="81"/>
      <c r="M179" s="81"/>
    </row>
    <row r="180" spans="1:13" x14ac:dyDescent="0.25">
      <c r="A180" s="120" t="s">
        <v>951</v>
      </c>
      <c r="B180" s="120" t="s">
        <v>951</v>
      </c>
      <c r="C180" s="120" t="s">
        <v>87</v>
      </c>
      <c r="D180" s="120" t="s">
        <v>97</v>
      </c>
      <c r="E180" s="120" t="s">
        <v>298</v>
      </c>
      <c r="F180" s="121">
        <v>30942</v>
      </c>
      <c r="H180" s="81"/>
      <c r="I180" s="81"/>
      <c r="J180" s="81"/>
      <c r="K180" s="81"/>
      <c r="L180" s="81"/>
      <c r="M180" s="81"/>
    </row>
    <row r="181" spans="1:13" x14ac:dyDescent="0.25">
      <c r="A181" s="120" t="s">
        <v>951</v>
      </c>
      <c r="B181" s="120" t="s">
        <v>951</v>
      </c>
      <c r="C181" s="120" t="s">
        <v>87</v>
      </c>
      <c r="D181" s="120" t="s">
        <v>97</v>
      </c>
      <c r="E181" s="120" t="s">
        <v>294</v>
      </c>
      <c r="F181" s="121">
        <v>30942</v>
      </c>
      <c r="H181" s="81"/>
      <c r="I181" s="81"/>
      <c r="J181" s="81"/>
      <c r="K181" s="81"/>
      <c r="L181" s="81"/>
      <c r="M181" s="81"/>
    </row>
    <row r="182" spans="1:13" x14ac:dyDescent="0.25">
      <c r="A182" s="120" t="s">
        <v>951</v>
      </c>
      <c r="B182" s="120" t="s">
        <v>951</v>
      </c>
      <c r="C182" s="120" t="s">
        <v>87</v>
      </c>
      <c r="D182" s="120" t="s">
        <v>97</v>
      </c>
      <c r="E182" s="120" t="s">
        <v>1</v>
      </c>
      <c r="F182" s="121">
        <v>23662</v>
      </c>
      <c r="H182" s="81"/>
      <c r="I182" s="81"/>
      <c r="J182" s="81"/>
      <c r="K182" s="81"/>
      <c r="L182" s="81"/>
      <c r="M182" s="81"/>
    </row>
    <row r="183" spans="1:13" x14ac:dyDescent="0.25">
      <c r="A183" s="120" t="s">
        <v>951</v>
      </c>
      <c r="B183" s="120" t="s">
        <v>951</v>
      </c>
      <c r="C183" s="120" t="s">
        <v>87</v>
      </c>
      <c r="D183" s="120" t="s">
        <v>98</v>
      </c>
      <c r="E183" s="120" t="s">
        <v>3</v>
      </c>
      <c r="F183" s="121">
        <v>707</v>
      </c>
      <c r="H183" s="81"/>
      <c r="I183" s="81"/>
      <c r="J183" s="81"/>
      <c r="K183" s="81"/>
      <c r="L183" s="81"/>
      <c r="M183" s="81"/>
    </row>
    <row r="184" spans="1:13" x14ac:dyDescent="0.25">
      <c r="A184" s="120" t="s">
        <v>951</v>
      </c>
      <c r="B184" s="120" t="s">
        <v>951</v>
      </c>
      <c r="C184" s="120" t="s">
        <v>87</v>
      </c>
      <c r="D184" s="120" t="s">
        <v>98</v>
      </c>
      <c r="E184" s="120" t="s">
        <v>0</v>
      </c>
      <c r="F184" s="121">
        <v>603</v>
      </c>
      <c r="H184" s="81"/>
      <c r="I184" s="81"/>
      <c r="J184" s="81"/>
      <c r="K184" s="81"/>
      <c r="L184" s="81"/>
      <c r="M184" s="81"/>
    </row>
    <row r="185" spans="1:13" x14ac:dyDescent="0.25">
      <c r="A185" s="120" t="s">
        <v>951</v>
      </c>
      <c r="B185" s="120" t="s">
        <v>951</v>
      </c>
      <c r="C185" s="120" t="s">
        <v>87</v>
      </c>
      <c r="D185" s="120" t="s">
        <v>98</v>
      </c>
      <c r="E185" s="120" t="s">
        <v>2</v>
      </c>
      <c r="F185" s="121">
        <v>707</v>
      </c>
      <c r="H185" s="81"/>
      <c r="I185" s="81"/>
      <c r="J185" s="81"/>
      <c r="K185" s="81"/>
      <c r="L185" s="81"/>
      <c r="M185" s="81"/>
    </row>
    <row r="186" spans="1:13" x14ac:dyDescent="0.25">
      <c r="A186" s="120" t="s">
        <v>951</v>
      </c>
      <c r="B186" s="120" t="s">
        <v>951</v>
      </c>
      <c r="C186" s="120" t="s">
        <v>87</v>
      </c>
      <c r="D186" s="120" t="s">
        <v>98</v>
      </c>
      <c r="E186" s="120" t="s">
        <v>298</v>
      </c>
      <c r="F186" s="121">
        <v>707</v>
      </c>
      <c r="H186" s="81"/>
      <c r="I186" s="81"/>
      <c r="J186" s="81"/>
      <c r="K186" s="81"/>
      <c r="L186" s="81"/>
      <c r="M186" s="81"/>
    </row>
    <row r="187" spans="1:13" x14ac:dyDescent="0.25">
      <c r="A187" s="120" t="s">
        <v>951</v>
      </c>
      <c r="B187" s="120" t="s">
        <v>951</v>
      </c>
      <c r="C187" s="120" t="s">
        <v>87</v>
      </c>
      <c r="D187" s="120" t="s">
        <v>98</v>
      </c>
      <c r="E187" s="120" t="s">
        <v>294</v>
      </c>
      <c r="F187" s="121">
        <v>707</v>
      </c>
      <c r="H187" s="81"/>
      <c r="I187" s="81"/>
      <c r="J187" s="81"/>
      <c r="K187" s="81"/>
      <c r="L187" s="81"/>
      <c r="M187" s="81"/>
    </row>
    <row r="188" spans="1:13" x14ac:dyDescent="0.25">
      <c r="A188" s="120" t="s">
        <v>951</v>
      </c>
      <c r="B188" s="120" t="s">
        <v>951</v>
      </c>
      <c r="C188" s="120" t="s">
        <v>87</v>
      </c>
      <c r="D188" s="120" t="s">
        <v>98</v>
      </c>
      <c r="E188" s="120" t="s">
        <v>1</v>
      </c>
      <c r="F188" s="121">
        <v>603</v>
      </c>
      <c r="H188" s="81"/>
      <c r="I188" s="81"/>
      <c r="J188" s="81"/>
      <c r="K188" s="81"/>
      <c r="L188" s="81"/>
      <c r="M188" s="81"/>
    </row>
    <row r="189" spans="1:13" x14ac:dyDescent="0.25">
      <c r="A189" s="120" t="s">
        <v>951</v>
      </c>
      <c r="B189" s="120" t="s">
        <v>951</v>
      </c>
      <c r="C189" s="120" t="s">
        <v>103</v>
      </c>
      <c r="D189" s="120" t="s">
        <v>102</v>
      </c>
      <c r="E189" s="120" t="s">
        <v>3</v>
      </c>
      <c r="F189" s="121">
        <v>984</v>
      </c>
      <c r="H189" s="81"/>
      <c r="I189" s="81"/>
      <c r="J189" s="81"/>
      <c r="K189" s="81"/>
      <c r="L189" s="81"/>
      <c r="M189" s="81"/>
    </row>
    <row r="190" spans="1:13" x14ac:dyDescent="0.25">
      <c r="A190" s="120" t="s">
        <v>951</v>
      </c>
      <c r="B190" s="120" t="s">
        <v>951</v>
      </c>
      <c r="C190" s="120" t="s">
        <v>103</v>
      </c>
      <c r="D190" s="120" t="s">
        <v>102</v>
      </c>
      <c r="E190" s="120" t="s">
        <v>0</v>
      </c>
      <c r="F190" s="121">
        <v>352</v>
      </c>
      <c r="H190" s="81"/>
      <c r="I190" s="81"/>
      <c r="J190" s="81"/>
      <c r="K190" s="81"/>
      <c r="L190" s="81"/>
      <c r="M190" s="81"/>
    </row>
    <row r="191" spans="1:13" x14ac:dyDescent="0.25">
      <c r="A191" s="120" t="s">
        <v>951</v>
      </c>
      <c r="B191" s="120" t="s">
        <v>951</v>
      </c>
      <c r="C191" s="120" t="s">
        <v>103</v>
      </c>
      <c r="D191" s="120" t="s">
        <v>102</v>
      </c>
      <c r="E191" s="120" t="s">
        <v>2</v>
      </c>
      <c r="F191" s="121">
        <v>984</v>
      </c>
      <c r="H191" s="81"/>
      <c r="I191" s="81"/>
      <c r="J191" s="81"/>
      <c r="K191" s="81"/>
      <c r="L191" s="81"/>
      <c r="M191" s="81"/>
    </row>
    <row r="192" spans="1:13" x14ac:dyDescent="0.25">
      <c r="A192" s="120" t="s">
        <v>951</v>
      </c>
      <c r="B192" s="120" t="s">
        <v>951</v>
      </c>
      <c r="C192" s="120" t="s">
        <v>103</v>
      </c>
      <c r="D192" s="120" t="s">
        <v>102</v>
      </c>
      <c r="E192" s="120" t="s">
        <v>298</v>
      </c>
      <c r="F192" s="121">
        <v>984</v>
      </c>
      <c r="H192" s="81"/>
      <c r="I192" s="81"/>
      <c r="J192" s="81"/>
      <c r="K192" s="81"/>
      <c r="L192" s="81"/>
      <c r="M192" s="81"/>
    </row>
    <row r="193" spans="1:13" x14ac:dyDescent="0.25">
      <c r="A193" s="120" t="s">
        <v>951</v>
      </c>
      <c r="B193" s="120" t="s">
        <v>951</v>
      </c>
      <c r="C193" s="120" t="s">
        <v>103</v>
      </c>
      <c r="D193" s="120" t="s">
        <v>102</v>
      </c>
      <c r="E193" s="120" t="s">
        <v>294</v>
      </c>
      <c r="F193" s="121">
        <v>984</v>
      </c>
      <c r="H193" s="81"/>
      <c r="I193" s="81"/>
      <c r="J193" s="81"/>
      <c r="K193" s="81"/>
      <c r="L193" s="81"/>
      <c r="M193" s="81"/>
    </row>
    <row r="194" spans="1:13" x14ac:dyDescent="0.25">
      <c r="A194" s="120" t="s">
        <v>951</v>
      </c>
      <c r="B194" s="120" t="s">
        <v>951</v>
      </c>
      <c r="C194" s="120" t="s">
        <v>103</v>
      </c>
      <c r="D194" s="120" t="s">
        <v>102</v>
      </c>
      <c r="E194" s="120" t="s">
        <v>1</v>
      </c>
      <c r="F194" s="121">
        <v>352</v>
      </c>
      <c r="H194" s="81"/>
      <c r="I194" s="81"/>
      <c r="J194" s="81"/>
      <c r="K194" s="81"/>
      <c r="L194" s="81"/>
      <c r="M194" s="81"/>
    </row>
    <row r="195" spans="1:13" x14ac:dyDescent="0.25">
      <c r="A195" s="120" t="s">
        <v>951</v>
      </c>
      <c r="B195" s="120" t="s">
        <v>951</v>
      </c>
      <c r="C195" s="120" t="s">
        <v>103</v>
      </c>
      <c r="D195" s="120" t="s">
        <v>104</v>
      </c>
      <c r="E195" s="120" t="s">
        <v>3</v>
      </c>
      <c r="F195" s="121">
        <v>171</v>
      </c>
      <c r="H195" s="81"/>
      <c r="I195" s="81"/>
      <c r="J195" s="81"/>
      <c r="K195" s="81"/>
      <c r="L195" s="81"/>
      <c r="M195" s="81"/>
    </row>
    <row r="196" spans="1:13" x14ac:dyDescent="0.25">
      <c r="A196" s="120" t="s">
        <v>951</v>
      </c>
      <c r="B196" s="120" t="s">
        <v>951</v>
      </c>
      <c r="C196" s="120" t="s">
        <v>103</v>
      </c>
      <c r="D196" s="120" t="s">
        <v>104</v>
      </c>
      <c r="E196" s="120" t="s">
        <v>0</v>
      </c>
      <c r="F196" s="121">
        <v>62</v>
      </c>
      <c r="H196" s="81"/>
      <c r="I196" s="81"/>
      <c r="J196" s="81"/>
      <c r="K196" s="81"/>
      <c r="L196" s="81"/>
      <c r="M196" s="81"/>
    </row>
    <row r="197" spans="1:13" x14ac:dyDescent="0.25">
      <c r="A197" s="120" t="s">
        <v>951</v>
      </c>
      <c r="B197" s="120" t="s">
        <v>951</v>
      </c>
      <c r="C197" s="120" t="s">
        <v>103</v>
      </c>
      <c r="D197" s="120" t="s">
        <v>104</v>
      </c>
      <c r="E197" s="120" t="s">
        <v>2</v>
      </c>
      <c r="F197" s="121">
        <v>171</v>
      </c>
      <c r="H197" s="81"/>
      <c r="I197" s="81"/>
      <c r="J197" s="81"/>
      <c r="K197" s="81"/>
      <c r="L197" s="81"/>
      <c r="M197" s="81"/>
    </row>
    <row r="198" spans="1:13" x14ac:dyDescent="0.25">
      <c r="A198" s="120" t="s">
        <v>951</v>
      </c>
      <c r="B198" s="120" t="s">
        <v>951</v>
      </c>
      <c r="C198" s="120" t="s">
        <v>103</v>
      </c>
      <c r="D198" s="120" t="s">
        <v>104</v>
      </c>
      <c r="E198" s="120" t="s">
        <v>298</v>
      </c>
      <c r="F198" s="121">
        <v>171</v>
      </c>
      <c r="H198" s="81"/>
      <c r="I198" s="81"/>
      <c r="J198" s="81"/>
      <c r="K198" s="81"/>
      <c r="L198" s="81"/>
      <c r="M198" s="81"/>
    </row>
    <row r="199" spans="1:13" x14ac:dyDescent="0.25">
      <c r="A199" s="120" t="s">
        <v>951</v>
      </c>
      <c r="B199" s="120" t="s">
        <v>951</v>
      </c>
      <c r="C199" s="120" t="s">
        <v>103</v>
      </c>
      <c r="D199" s="120" t="s">
        <v>104</v>
      </c>
      <c r="E199" s="120" t="s">
        <v>294</v>
      </c>
      <c r="F199" s="121">
        <v>171</v>
      </c>
      <c r="H199" s="81"/>
      <c r="I199" s="81"/>
      <c r="J199" s="81"/>
      <c r="K199" s="81"/>
      <c r="L199" s="81"/>
      <c r="M199" s="81"/>
    </row>
    <row r="200" spans="1:13" x14ac:dyDescent="0.25">
      <c r="A200" s="120" t="s">
        <v>951</v>
      </c>
      <c r="B200" s="120" t="s">
        <v>951</v>
      </c>
      <c r="C200" s="120" t="s">
        <v>103</v>
      </c>
      <c r="D200" s="120" t="s">
        <v>104</v>
      </c>
      <c r="E200" s="120" t="s">
        <v>1</v>
      </c>
      <c r="F200" s="121">
        <v>62</v>
      </c>
      <c r="H200" s="81"/>
      <c r="I200" s="81"/>
      <c r="J200" s="81"/>
      <c r="K200" s="81"/>
      <c r="L200" s="81"/>
      <c r="M200" s="81"/>
    </row>
    <row r="201" spans="1:13" x14ac:dyDescent="0.25">
      <c r="A201" s="120" t="s">
        <v>951</v>
      </c>
      <c r="B201" s="120" t="s">
        <v>951</v>
      </c>
      <c r="C201" s="120" t="s">
        <v>103</v>
      </c>
      <c r="D201" s="120" t="s">
        <v>105</v>
      </c>
      <c r="E201" s="120" t="s">
        <v>3</v>
      </c>
      <c r="F201" s="121">
        <v>9</v>
      </c>
      <c r="H201" s="81"/>
      <c r="I201" s="81"/>
      <c r="J201" s="81"/>
      <c r="K201" s="81"/>
      <c r="L201" s="81"/>
      <c r="M201" s="81"/>
    </row>
    <row r="202" spans="1:13" x14ac:dyDescent="0.25">
      <c r="A202" s="120" t="s">
        <v>951</v>
      </c>
      <c r="B202" s="120" t="s">
        <v>951</v>
      </c>
      <c r="C202" s="120" t="s">
        <v>103</v>
      </c>
      <c r="D202" s="120" t="s">
        <v>105</v>
      </c>
      <c r="E202" s="120" t="s">
        <v>0</v>
      </c>
      <c r="F202" s="121">
        <v>7</v>
      </c>
      <c r="H202" s="81"/>
      <c r="I202" s="81"/>
      <c r="J202" s="81"/>
      <c r="K202" s="81"/>
      <c r="L202" s="81"/>
      <c r="M202" s="81"/>
    </row>
    <row r="203" spans="1:13" x14ac:dyDescent="0.25">
      <c r="A203" s="120" t="s">
        <v>951</v>
      </c>
      <c r="B203" s="120" t="s">
        <v>951</v>
      </c>
      <c r="C203" s="120" t="s">
        <v>103</v>
      </c>
      <c r="D203" s="120" t="s">
        <v>105</v>
      </c>
      <c r="E203" s="120" t="s">
        <v>2</v>
      </c>
      <c r="F203" s="121">
        <v>9</v>
      </c>
      <c r="H203" s="81"/>
      <c r="I203" s="81"/>
      <c r="J203" s="81"/>
      <c r="K203" s="81"/>
      <c r="L203" s="81"/>
      <c r="M203" s="81"/>
    </row>
    <row r="204" spans="1:13" x14ac:dyDescent="0.25">
      <c r="A204" s="120" t="s">
        <v>951</v>
      </c>
      <c r="B204" s="120" t="s">
        <v>951</v>
      </c>
      <c r="C204" s="120" t="s">
        <v>103</v>
      </c>
      <c r="D204" s="120" t="s">
        <v>105</v>
      </c>
      <c r="E204" s="120" t="s">
        <v>298</v>
      </c>
      <c r="F204" s="121">
        <v>9</v>
      </c>
      <c r="H204" s="81"/>
      <c r="I204" s="81"/>
      <c r="J204" s="81"/>
      <c r="K204" s="81"/>
      <c r="L204" s="81"/>
      <c r="M204" s="81"/>
    </row>
    <row r="205" spans="1:13" x14ac:dyDescent="0.25">
      <c r="A205" s="120" t="s">
        <v>951</v>
      </c>
      <c r="B205" s="120" t="s">
        <v>951</v>
      </c>
      <c r="C205" s="120" t="s">
        <v>103</v>
      </c>
      <c r="D205" s="120" t="s">
        <v>105</v>
      </c>
      <c r="E205" s="120" t="s">
        <v>294</v>
      </c>
      <c r="F205" s="121">
        <v>9</v>
      </c>
      <c r="H205" s="81"/>
      <c r="I205" s="81"/>
      <c r="J205" s="81"/>
      <c r="K205" s="81"/>
      <c r="L205" s="81"/>
      <c r="M205" s="81"/>
    </row>
    <row r="206" spans="1:13" x14ac:dyDescent="0.25">
      <c r="A206" s="120" t="s">
        <v>951</v>
      </c>
      <c r="B206" s="120" t="s">
        <v>951</v>
      </c>
      <c r="C206" s="120" t="s">
        <v>103</v>
      </c>
      <c r="D206" s="120" t="s">
        <v>105</v>
      </c>
      <c r="E206" s="120" t="s">
        <v>1</v>
      </c>
      <c r="F206" s="121">
        <v>7</v>
      </c>
      <c r="H206" s="81"/>
      <c r="I206" s="81"/>
      <c r="J206" s="81"/>
      <c r="K206" s="81"/>
      <c r="L206" s="81"/>
      <c r="M206" s="81"/>
    </row>
    <row r="207" spans="1:13" x14ac:dyDescent="0.25">
      <c r="A207" s="120" t="s">
        <v>951</v>
      </c>
      <c r="B207" s="120" t="s">
        <v>951</v>
      </c>
      <c r="C207" s="120" t="s">
        <v>103</v>
      </c>
      <c r="D207" s="120" t="s">
        <v>106</v>
      </c>
      <c r="E207" s="120" t="s">
        <v>3</v>
      </c>
      <c r="F207" s="121">
        <v>0</v>
      </c>
      <c r="H207" s="81"/>
      <c r="I207" s="81"/>
      <c r="J207" s="81"/>
      <c r="K207" s="81"/>
      <c r="L207" s="81"/>
      <c r="M207" s="81"/>
    </row>
    <row r="208" spans="1:13" x14ac:dyDescent="0.25">
      <c r="A208" s="120" t="s">
        <v>951</v>
      </c>
      <c r="B208" s="120" t="s">
        <v>951</v>
      </c>
      <c r="C208" s="120" t="s">
        <v>103</v>
      </c>
      <c r="D208" s="120" t="s">
        <v>106</v>
      </c>
      <c r="E208" s="120" t="s">
        <v>0</v>
      </c>
      <c r="F208" s="121">
        <v>0</v>
      </c>
      <c r="H208" s="81"/>
      <c r="I208" s="81"/>
      <c r="J208" s="81"/>
      <c r="K208" s="81"/>
      <c r="L208" s="81"/>
      <c r="M208" s="81"/>
    </row>
    <row r="209" spans="1:13" x14ac:dyDescent="0.25">
      <c r="A209" s="120" t="s">
        <v>951</v>
      </c>
      <c r="B209" s="120" t="s">
        <v>951</v>
      </c>
      <c r="C209" s="120" t="s">
        <v>103</v>
      </c>
      <c r="D209" s="120" t="s">
        <v>106</v>
      </c>
      <c r="E209" s="120" t="s">
        <v>2</v>
      </c>
      <c r="F209" s="121">
        <v>0</v>
      </c>
      <c r="H209" s="81"/>
      <c r="I209" s="81"/>
      <c r="J209" s="81"/>
      <c r="K209" s="81"/>
      <c r="L209" s="81"/>
      <c r="M209" s="81"/>
    </row>
    <row r="210" spans="1:13" x14ac:dyDescent="0.25">
      <c r="A210" s="120" t="s">
        <v>951</v>
      </c>
      <c r="B210" s="120" t="s">
        <v>951</v>
      </c>
      <c r="C210" s="120" t="s">
        <v>103</v>
      </c>
      <c r="D210" s="120" t="s">
        <v>106</v>
      </c>
      <c r="E210" s="120" t="s">
        <v>1</v>
      </c>
      <c r="F210" s="121">
        <v>0</v>
      </c>
      <c r="H210" s="81"/>
      <c r="I210" s="81"/>
      <c r="J210" s="81"/>
      <c r="K210" s="81"/>
      <c r="L210" s="81"/>
      <c r="M210" s="81"/>
    </row>
    <row r="211" spans="1:13" x14ac:dyDescent="0.25">
      <c r="A211" s="120" t="s">
        <v>951</v>
      </c>
      <c r="B211" s="120" t="s">
        <v>951</v>
      </c>
      <c r="C211" s="120" t="s">
        <v>103</v>
      </c>
      <c r="D211" s="120" t="s">
        <v>108</v>
      </c>
      <c r="E211" s="120" t="s">
        <v>3</v>
      </c>
      <c r="F211" s="121">
        <v>688</v>
      </c>
      <c r="H211" s="81"/>
      <c r="I211" s="81"/>
      <c r="J211" s="81"/>
      <c r="K211" s="81"/>
      <c r="L211" s="81"/>
      <c r="M211" s="81"/>
    </row>
    <row r="212" spans="1:13" x14ac:dyDescent="0.25">
      <c r="A212" s="120" t="s">
        <v>951</v>
      </c>
      <c r="B212" s="120" t="s">
        <v>951</v>
      </c>
      <c r="C212" s="120" t="s">
        <v>103</v>
      </c>
      <c r="D212" s="120" t="s">
        <v>108</v>
      </c>
      <c r="E212" s="120" t="s">
        <v>0</v>
      </c>
      <c r="F212" s="121">
        <v>13</v>
      </c>
      <c r="H212" s="81"/>
      <c r="I212" s="81"/>
      <c r="J212" s="81"/>
      <c r="K212" s="81"/>
      <c r="L212" s="81"/>
      <c r="M212" s="81"/>
    </row>
    <row r="213" spans="1:13" x14ac:dyDescent="0.25">
      <c r="A213" s="120" t="s">
        <v>951</v>
      </c>
      <c r="B213" s="120" t="s">
        <v>951</v>
      </c>
      <c r="C213" s="120" t="s">
        <v>103</v>
      </c>
      <c r="D213" s="120" t="s">
        <v>108</v>
      </c>
      <c r="E213" s="120" t="s">
        <v>2</v>
      </c>
      <c r="F213" s="121">
        <v>688</v>
      </c>
      <c r="H213" s="81"/>
      <c r="I213" s="81"/>
      <c r="J213" s="81"/>
      <c r="K213" s="81"/>
      <c r="L213" s="81"/>
      <c r="M213" s="81"/>
    </row>
    <row r="214" spans="1:13" x14ac:dyDescent="0.25">
      <c r="A214" s="120" t="s">
        <v>951</v>
      </c>
      <c r="B214" s="120" t="s">
        <v>951</v>
      </c>
      <c r="C214" s="120" t="s">
        <v>103</v>
      </c>
      <c r="D214" s="120" t="s">
        <v>108</v>
      </c>
      <c r="E214" s="120" t="s">
        <v>298</v>
      </c>
      <c r="F214" s="121">
        <v>688</v>
      </c>
      <c r="H214" s="81"/>
      <c r="I214" s="81"/>
      <c r="J214" s="81"/>
      <c r="K214" s="81"/>
      <c r="L214" s="81"/>
      <c r="M214" s="81"/>
    </row>
    <row r="215" spans="1:13" x14ac:dyDescent="0.25">
      <c r="A215" s="120" t="s">
        <v>951</v>
      </c>
      <c r="B215" s="120" t="s">
        <v>951</v>
      </c>
      <c r="C215" s="120" t="s">
        <v>103</v>
      </c>
      <c r="D215" s="120" t="s">
        <v>108</v>
      </c>
      <c r="E215" s="120" t="s">
        <v>294</v>
      </c>
      <c r="F215" s="121">
        <v>688</v>
      </c>
      <c r="H215" s="81"/>
      <c r="I215" s="81"/>
      <c r="J215" s="81"/>
      <c r="K215" s="81"/>
      <c r="L215" s="81"/>
      <c r="M215" s="81"/>
    </row>
    <row r="216" spans="1:13" x14ac:dyDescent="0.25">
      <c r="A216" s="120" t="s">
        <v>951</v>
      </c>
      <c r="B216" s="120" t="s">
        <v>951</v>
      </c>
      <c r="C216" s="120" t="s">
        <v>103</v>
      </c>
      <c r="D216" s="120" t="s">
        <v>108</v>
      </c>
      <c r="E216" s="120" t="s">
        <v>1</v>
      </c>
      <c r="F216" s="121">
        <v>13</v>
      </c>
      <c r="H216" s="81"/>
      <c r="I216" s="81"/>
      <c r="J216" s="81"/>
      <c r="K216" s="81"/>
      <c r="L216" s="81"/>
      <c r="M216" s="81"/>
    </row>
    <row r="217" spans="1:13" x14ac:dyDescent="0.25">
      <c r="A217" s="120" t="s">
        <v>951</v>
      </c>
      <c r="B217" s="120" t="s">
        <v>951</v>
      </c>
      <c r="C217" s="120" t="s">
        <v>110</v>
      </c>
      <c r="D217" s="120" t="s">
        <v>111</v>
      </c>
      <c r="E217" s="120" t="s">
        <v>3</v>
      </c>
      <c r="F217" s="121">
        <v>77237</v>
      </c>
      <c r="H217" s="81"/>
      <c r="I217" s="81"/>
      <c r="J217" s="81"/>
      <c r="K217" s="81"/>
      <c r="L217" s="81"/>
      <c r="M217" s="81"/>
    </row>
    <row r="218" spans="1:13" x14ac:dyDescent="0.25">
      <c r="A218" s="120" t="s">
        <v>951</v>
      </c>
      <c r="B218" s="120" t="s">
        <v>951</v>
      </c>
      <c r="C218" s="120" t="s">
        <v>110</v>
      </c>
      <c r="D218" s="120" t="s">
        <v>111</v>
      </c>
      <c r="E218" s="120" t="s">
        <v>0</v>
      </c>
      <c r="F218" s="121">
        <v>33958</v>
      </c>
      <c r="H218" s="81"/>
      <c r="I218" s="81"/>
      <c r="J218" s="81"/>
      <c r="K218" s="81"/>
      <c r="L218" s="81"/>
      <c r="M218" s="81"/>
    </row>
    <row r="219" spans="1:13" x14ac:dyDescent="0.25">
      <c r="A219" s="120" t="s">
        <v>951</v>
      </c>
      <c r="B219" s="120" t="s">
        <v>951</v>
      </c>
      <c r="C219" s="120" t="s">
        <v>110</v>
      </c>
      <c r="D219" s="120" t="s">
        <v>111</v>
      </c>
      <c r="E219" s="120" t="s">
        <v>2</v>
      </c>
      <c r="F219" s="121">
        <v>77237</v>
      </c>
      <c r="H219" s="81"/>
      <c r="I219" s="81"/>
      <c r="J219" s="81"/>
      <c r="K219" s="81"/>
      <c r="L219" s="81"/>
      <c r="M219" s="81"/>
    </row>
    <row r="220" spans="1:13" x14ac:dyDescent="0.25">
      <c r="A220" s="120" t="s">
        <v>951</v>
      </c>
      <c r="B220" s="120" t="s">
        <v>951</v>
      </c>
      <c r="C220" s="120" t="s">
        <v>110</v>
      </c>
      <c r="D220" s="120" t="s">
        <v>111</v>
      </c>
      <c r="E220" s="120" t="s">
        <v>298</v>
      </c>
      <c r="F220" s="121">
        <v>77237</v>
      </c>
      <c r="H220" s="81"/>
      <c r="I220" s="81"/>
      <c r="J220" s="81"/>
      <c r="K220" s="81"/>
      <c r="L220" s="81"/>
      <c r="M220" s="81"/>
    </row>
    <row r="221" spans="1:13" x14ac:dyDescent="0.25">
      <c r="A221" s="120" t="s">
        <v>951</v>
      </c>
      <c r="B221" s="120" t="s">
        <v>951</v>
      </c>
      <c r="C221" s="120" t="s">
        <v>110</v>
      </c>
      <c r="D221" s="120" t="s">
        <v>111</v>
      </c>
      <c r="E221" s="120" t="s">
        <v>294</v>
      </c>
      <c r="F221" s="121">
        <v>77237</v>
      </c>
      <c r="H221" s="81"/>
      <c r="I221" s="81"/>
      <c r="J221" s="81"/>
      <c r="K221" s="81"/>
      <c r="L221" s="81"/>
      <c r="M221" s="81"/>
    </row>
    <row r="222" spans="1:13" x14ac:dyDescent="0.25">
      <c r="A222" s="120" t="s">
        <v>951</v>
      </c>
      <c r="B222" s="120" t="s">
        <v>951</v>
      </c>
      <c r="C222" s="120" t="s">
        <v>110</v>
      </c>
      <c r="D222" s="120" t="s">
        <v>111</v>
      </c>
      <c r="E222" s="120" t="s">
        <v>1</v>
      </c>
      <c r="F222" s="121">
        <v>33958</v>
      </c>
      <c r="H222" s="81"/>
      <c r="I222" s="81"/>
      <c r="J222" s="81"/>
      <c r="K222" s="81"/>
      <c r="L222" s="81"/>
      <c r="M222" s="81"/>
    </row>
    <row r="223" spans="1:13" x14ac:dyDescent="0.25">
      <c r="A223" s="120" t="s">
        <v>951</v>
      </c>
      <c r="B223" s="120" t="s">
        <v>951</v>
      </c>
      <c r="C223" s="120" t="s">
        <v>110</v>
      </c>
      <c r="D223" s="120" t="s">
        <v>114</v>
      </c>
      <c r="E223" s="120" t="s">
        <v>3</v>
      </c>
      <c r="F223" s="121">
        <v>6142</v>
      </c>
      <c r="H223" s="81"/>
      <c r="I223" s="81"/>
      <c r="J223" s="81"/>
      <c r="K223" s="81"/>
      <c r="L223" s="81"/>
      <c r="M223" s="81"/>
    </row>
    <row r="224" spans="1:13" x14ac:dyDescent="0.25">
      <c r="A224" s="120" t="s">
        <v>951</v>
      </c>
      <c r="B224" s="120" t="s">
        <v>951</v>
      </c>
      <c r="C224" s="120" t="s">
        <v>110</v>
      </c>
      <c r="D224" s="120" t="s">
        <v>114</v>
      </c>
      <c r="E224" s="120" t="s">
        <v>0</v>
      </c>
      <c r="F224" s="121">
        <v>1012</v>
      </c>
      <c r="H224" s="81"/>
      <c r="I224" s="81"/>
      <c r="J224" s="81"/>
      <c r="K224" s="81"/>
      <c r="L224" s="81"/>
      <c r="M224" s="81"/>
    </row>
    <row r="225" spans="1:13" x14ac:dyDescent="0.25">
      <c r="A225" s="120" t="s">
        <v>951</v>
      </c>
      <c r="B225" s="120" t="s">
        <v>951</v>
      </c>
      <c r="C225" s="120" t="s">
        <v>110</v>
      </c>
      <c r="D225" s="120" t="s">
        <v>114</v>
      </c>
      <c r="E225" s="120" t="s">
        <v>2</v>
      </c>
      <c r="F225" s="121">
        <v>6142</v>
      </c>
      <c r="H225" s="81"/>
      <c r="I225" s="81"/>
      <c r="J225" s="81"/>
      <c r="K225" s="81"/>
      <c r="L225" s="81"/>
      <c r="M225" s="81"/>
    </row>
    <row r="226" spans="1:13" x14ac:dyDescent="0.25">
      <c r="A226" s="120" t="s">
        <v>951</v>
      </c>
      <c r="B226" s="120" t="s">
        <v>951</v>
      </c>
      <c r="C226" s="120" t="s">
        <v>110</v>
      </c>
      <c r="D226" s="120" t="s">
        <v>114</v>
      </c>
      <c r="E226" s="120" t="s">
        <v>298</v>
      </c>
      <c r="F226" s="121">
        <v>6142</v>
      </c>
      <c r="H226" s="81"/>
      <c r="I226" s="81"/>
      <c r="J226" s="81"/>
      <c r="K226" s="81"/>
      <c r="L226" s="81"/>
      <c r="M226" s="81"/>
    </row>
    <row r="227" spans="1:13" x14ac:dyDescent="0.25">
      <c r="A227" s="120" t="s">
        <v>951</v>
      </c>
      <c r="B227" s="120" t="s">
        <v>951</v>
      </c>
      <c r="C227" s="120" t="s">
        <v>110</v>
      </c>
      <c r="D227" s="120" t="s">
        <v>114</v>
      </c>
      <c r="E227" s="120" t="s">
        <v>294</v>
      </c>
      <c r="F227" s="121">
        <v>6142</v>
      </c>
      <c r="H227" s="81"/>
      <c r="I227" s="81"/>
      <c r="J227" s="81"/>
      <c r="K227" s="81"/>
      <c r="L227" s="81"/>
      <c r="M227" s="81"/>
    </row>
    <row r="228" spans="1:13" x14ac:dyDescent="0.25">
      <c r="A228" s="120" t="s">
        <v>951</v>
      </c>
      <c r="B228" s="120" t="s">
        <v>951</v>
      </c>
      <c r="C228" s="120" t="s">
        <v>110</v>
      </c>
      <c r="D228" s="120" t="s">
        <v>114</v>
      </c>
      <c r="E228" s="120" t="s">
        <v>1</v>
      </c>
      <c r="F228" s="121">
        <v>1012</v>
      </c>
      <c r="H228" s="81"/>
      <c r="I228" s="81"/>
      <c r="J228" s="81"/>
      <c r="K228" s="81"/>
      <c r="L228" s="81"/>
      <c r="M228" s="81"/>
    </row>
    <row r="229" spans="1:13" x14ac:dyDescent="0.25">
      <c r="A229" s="120" t="s">
        <v>951</v>
      </c>
      <c r="B229" s="120" t="s">
        <v>951</v>
      </c>
      <c r="C229" s="120" t="s">
        <v>117</v>
      </c>
      <c r="D229" s="120" t="s">
        <v>119</v>
      </c>
      <c r="E229" s="120" t="s">
        <v>3</v>
      </c>
      <c r="F229" s="121">
        <v>169491</v>
      </c>
      <c r="H229" s="81"/>
      <c r="I229" s="81"/>
      <c r="J229" s="81"/>
      <c r="K229" s="81"/>
      <c r="L229" s="81"/>
      <c r="M229" s="81"/>
    </row>
    <row r="230" spans="1:13" x14ac:dyDescent="0.25">
      <c r="A230" s="120" t="s">
        <v>951</v>
      </c>
      <c r="B230" s="120" t="s">
        <v>951</v>
      </c>
      <c r="C230" s="120" t="s">
        <v>117</v>
      </c>
      <c r="D230" s="120" t="s">
        <v>119</v>
      </c>
      <c r="E230" s="120" t="s">
        <v>0</v>
      </c>
      <c r="F230" s="121">
        <v>134748</v>
      </c>
      <c r="H230" s="81"/>
      <c r="I230" s="81"/>
      <c r="J230" s="81"/>
      <c r="K230" s="81"/>
      <c r="L230" s="81"/>
      <c r="M230" s="81"/>
    </row>
    <row r="231" spans="1:13" x14ac:dyDescent="0.25">
      <c r="A231" s="120" t="s">
        <v>951</v>
      </c>
      <c r="B231" s="120" t="s">
        <v>951</v>
      </c>
      <c r="C231" s="120" t="s">
        <v>117</v>
      </c>
      <c r="D231" s="120" t="s">
        <v>119</v>
      </c>
      <c r="E231" s="120" t="s">
        <v>2</v>
      </c>
      <c r="F231" s="121">
        <v>169491</v>
      </c>
      <c r="H231" s="81"/>
      <c r="I231" s="81"/>
      <c r="J231" s="81"/>
      <c r="K231" s="81"/>
      <c r="L231" s="81"/>
      <c r="M231" s="81"/>
    </row>
    <row r="232" spans="1:13" x14ac:dyDescent="0.25">
      <c r="A232" s="120" t="s">
        <v>951</v>
      </c>
      <c r="B232" s="120" t="s">
        <v>951</v>
      </c>
      <c r="C232" s="120" t="s">
        <v>117</v>
      </c>
      <c r="D232" s="120" t="s">
        <v>119</v>
      </c>
      <c r="E232" s="120" t="s">
        <v>298</v>
      </c>
      <c r="F232" s="121">
        <v>169491</v>
      </c>
      <c r="H232" s="81"/>
      <c r="I232" s="81"/>
      <c r="J232" s="81"/>
      <c r="K232" s="81"/>
      <c r="L232" s="81"/>
      <c r="M232" s="81"/>
    </row>
    <row r="233" spans="1:13" x14ac:dyDescent="0.25">
      <c r="A233" s="120" t="s">
        <v>951</v>
      </c>
      <c r="B233" s="120" t="s">
        <v>951</v>
      </c>
      <c r="C233" s="120" t="s">
        <v>117</v>
      </c>
      <c r="D233" s="120" t="s">
        <v>119</v>
      </c>
      <c r="E233" s="120" t="s">
        <v>294</v>
      </c>
      <c r="F233" s="121">
        <v>169491</v>
      </c>
      <c r="H233" s="81"/>
      <c r="I233" s="81"/>
      <c r="J233" s="81"/>
      <c r="K233" s="81"/>
      <c r="L233" s="81"/>
      <c r="M233" s="81"/>
    </row>
    <row r="234" spans="1:13" x14ac:dyDescent="0.25">
      <c r="A234" s="120" t="s">
        <v>951</v>
      </c>
      <c r="B234" s="120" t="s">
        <v>951</v>
      </c>
      <c r="C234" s="120" t="s">
        <v>117</v>
      </c>
      <c r="D234" s="120" t="s">
        <v>119</v>
      </c>
      <c r="E234" s="120" t="s">
        <v>1</v>
      </c>
      <c r="F234" s="121">
        <v>134748</v>
      </c>
      <c r="H234" s="81"/>
      <c r="I234" s="81"/>
      <c r="J234" s="81"/>
      <c r="K234" s="81"/>
      <c r="L234" s="81"/>
      <c r="M234" s="81"/>
    </row>
    <row r="235" spans="1:13" x14ac:dyDescent="0.25">
      <c r="A235" s="120" t="s">
        <v>951</v>
      </c>
      <c r="B235" s="120" t="s">
        <v>951</v>
      </c>
      <c r="C235" s="120" t="s">
        <v>117</v>
      </c>
      <c r="D235" s="120" t="s">
        <v>120</v>
      </c>
      <c r="E235" s="120" t="s">
        <v>3</v>
      </c>
      <c r="F235" s="121">
        <v>1077</v>
      </c>
      <c r="H235" s="81"/>
      <c r="I235" s="81"/>
      <c r="J235" s="81"/>
      <c r="K235" s="81"/>
      <c r="L235" s="81"/>
      <c r="M235" s="81"/>
    </row>
    <row r="236" spans="1:13" x14ac:dyDescent="0.25">
      <c r="A236" s="120" t="s">
        <v>951</v>
      </c>
      <c r="B236" s="120" t="s">
        <v>951</v>
      </c>
      <c r="C236" s="120" t="s">
        <v>117</v>
      </c>
      <c r="D236" s="120" t="s">
        <v>120</v>
      </c>
      <c r="E236" s="120" t="s">
        <v>0</v>
      </c>
      <c r="F236" s="121">
        <v>1077</v>
      </c>
      <c r="H236" s="81"/>
      <c r="I236" s="81"/>
      <c r="J236" s="81"/>
      <c r="K236" s="81"/>
      <c r="L236" s="81"/>
      <c r="M236" s="81"/>
    </row>
    <row r="237" spans="1:13" x14ac:dyDescent="0.25">
      <c r="A237" s="120" t="s">
        <v>951</v>
      </c>
      <c r="B237" s="120" t="s">
        <v>951</v>
      </c>
      <c r="C237" s="120" t="s">
        <v>117</v>
      </c>
      <c r="D237" s="120" t="s">
        <v>120</v>
      </c>
      <c r="E237" s="120" t="s">
        <v>2</v>
      </c>
      <c r="F237" s="121">
        <v>1077</v>
      </c>
      <c r="H237" s="81"/>
      <c r="I237" s="81"/>
      <c r="J237" s="81"/>
      <c r="K237" s="81"/>
      <c r="L237" s="81"/>
      <c r="M237" s="81"/>
    </row>
    <row r="238" spans="1:13" x14ac:dyDescent="0.25">
      <c r="A238" s="120" t="s">
        <v>951</v>
      </c>
      <c r="B238" s="120" t="s">
        <v>951</v>
      </c>
      <c r="C238" s="120" t="s">
        <v>117</v>
      </c>
      <c r="D238" s="120" t="s">
        <v>120</v>
      </c>
      <c r="E238" s="120" t="s">
        <v>298</v>
      </c>
      <c r="F238" s="121">
        <v>1077</v>
      </c>
      <c r="H238" s="81"/>
      <c r="I238" s="81"/>
      <c r="J238" s="81"/>
      <c r="K238" s="81"/>
      <c r="L238" s="81"/>
      <c r="M238" s="81"/>
    </row>
    <row r="239" spans="1:13" x14ac:dyDescent="0.25">
      <c r="A239" s="120" t="s">
        <v>951</v>
      </c>
      <c r="B239" s="120" t="s">
        <v>951</v>
      </c>
      <c r="C239" s="120" t="s">
        <v>117</v>
      </c>
      <c r="D239" s="120" t="s">
        <v>120</v>
      </c>
      <c r="E239" s="120" t="s">
        <v>294</v>
      </c>
      <c r="F239" s="121">
        <v>1077</v>
      </c>
      <c r="H239" s="81"/>
      <c r="I239" s="81"/>
      <c r="J239" s="81"/>
      <c r="K239" s="81"/>
      <c r="L239" s="81"/>
      <c r="M239" s="81"/>
    </row>
    <row r="240" spans="1:13" x14ac:dyDescent="0.25">
      <c r="A240" s="120" t="s">
        <v>951</v>
      </c>
      <c r="B240" s="120" t="s">
        <v>951</v>
      </c>
      <c r="C240" s="120" t="s">
        <v>117</v>
      </c>
      <c r="D240" s="120" t="s">
        <v>120</v>
      </c>
      <c r="E240" s="120" t="s">
        <v>1</v>
      </c>
      <c r="F240" s="121">
        <v>1077</v>
      </c>
      <c r="H240" s="81"/>
      <c r="I240" s="81"/>
      <c r="J240" s="81"/>
      <c r="K240" s="81"/>
      <c r="L240" s="81"/>
      <c r="M240" s="81"/>
    </row>
    <row r="241" spans="1:13" x14ac:dyDescent="0.25">
      <c r="A241" s="120" t="s">
        <v>951</v>
      </c>
      <c r="B241" s="120" t="s">
        <v>951</v>
      </c>
      <c r="C241" s="120" t="s">
        <v>122</v>
      </c>
      <c r="D241" s="120" t="s">
        <v>123</v>
      </c>
      <c r="E241" s="120" t="s">
        <v>3</v>
      </c>
      <c r="F241" s="121">
        <v>0</v>
      </c>
      <c r="H241" s="81"/>
      <c r="I241" s="81"/>
      <c r="J241" s="81"/>
      <c r="K241" s="81"/>
      <c r="L241" s="81"/>
      <c r="M241" s="81"/>
    </row>
    <row r="242" spans="1:13" x14ac:dyDescent="0.25">
      <c r="A242" s="120" t="s">
        <v>951</v>
      </c>
      <c r="B242" s="120" t="s">
        <v>951</v>
      </c>
      <c r="C242" s="120" t="s">
        <v>122</v>
      </c>
      <c r="D242" s="120" t="s">
        <v>123</v>
      </c>
      <c r="E242" s="120" t="s">
        <v>0</v>
      </c>
      <c r="F242" s="121">
        <v>0</v>
      </c>
      <c r="H242" s="81"/>
      <c r="I242" s="81"/>
      <c r="J242" s="81"/>
      <c r="K242" s="81"/>
      <c r="L242" s="81"/>
      <c r="M242" s="81"/>
    </row>
    <row r="243" spans="1:13" x14ac:dyDescent="0.25">
      <c r="A243" s="120" t="s">
        <v>951</v>
      </c>
      <c r="B243" s="120" t="s">
        <v>951</v>
      </c>
      <c r="C243" s="120" t="s">
        <v>122</v>
      </c>
      <c r="D243" s="120" t="s">
        <v>123</v>
      </c>
      <c r="E243" s="120" t="s">
        <v>2</v>
      </c>
      <c r="F243" s="121">
        <v>0</v>
      </c>
      <c r="H243" s="81"/>
      <c r="I243" s="81"/>
      <c r="J243" s="81"/>
      <c r="K243" s="81"/>
      <c r="L243" s="81"/>
      <c r="M243" s="81"/>
    </row>
    <row r="244" spans="1:13" x14ac:dyDescent="0.25">
      <c r="A244" s="120" t="s">
        <v>951</v>
      </c>
      <c r="B244" s="120" t="s">
        <v>951</v>
      </c>
      <c r="C244" s="120" t="s">
        <v>122</v>
      </c>
      <c r="D244" s="120" t="s">
        <v>123</v>
      </c>
      <c r="E244" s="120" t="s">
        <v>294</v>
      </c>
      <c r="F244" s="121">
        <v>0</v>
      </c>
      <c r="H244" s="81"/>
      <c r="I244" s="81"/>
      <c r="J244" s="81"/>
      <c r="K244" s="81"/>
      <c r="L244" s="81"/>
      <c r="M244" s="81"/>
    </row>
    <row r="245" spans="1:13" x14ac:dyDescent="0.25">
      <c r="A245" s="120" t="s">
        <v>951</v>
      </c>
      <c r="B245" s="120" t="s">
        <v>951</v>
      </c>
      <c r="C245" s="120" t="s">
        <v>122</v>
      </c>
      <c r="D245" s="120" t="s">
        <v>123</v>
      </c>
      <c r="E245" s="120" t="s">
        <v>1</v>
      </c>
      <c r="F245" s="121">
        <v>0</v>
      </c>
      <c r="H245" s="81"/>
      <c r="I245" s="81"/>
      <c r="J245" s="81"/>
      <c r="K245" s="81"/>
      <c r="L245" s="81"/>
      <c r="M245" s="81"/>
    </row>
    <row r="246" spans="1:13" x14ac:dyDescent="0.25">
      <c r="A246" s="120" t="s">
        <v>951</v>
      </c>
      <c r="B246" s="120" t="s">
        <v>951</v>
      </c>
      <c r="C246" s="120" t="s">
        <v>125</v>
      </c>
      <c r="D246" s="120" t="s">
        <v>124</v>
      </c>
      <c r="E246" s="120" t="s">
        <v>3</v>
      </c>
      <c r="F246" s="121">
        <v>55536</v>
      </c>
      <c r="H246" s="81"/>
      <c r="I246" s="81"/>
      <c r="J246" s="81"/>
      <c r="K246" s="81"/>
      <c r="L246" s="81"/>
      <c r="M246" s="81"/>
    </row>
    <row r="247" spans="1:13" x14ac:dyDescent="0.25">
      <c r="A247" s="120" t="s">
        <v>951</v>
      </c>
      <c r="B247" s="120" t="s">
        <v>951</v>
      </c>
      <c r="C247" s="120" t="s">
        <v>125</v>
      </c>
      <c r="D247" s="120" t="s">
        <v>124</v>
      </c>
      <c r="E247" s="120" t="s">
        <v>0</v>
      </c>
      <c r="F247" s="121">
        <v>39268</v>
      </c>
      <c r="H247" s="81"/>
      <c r="I247" s="81"/>
      <c r="J247" s="81"/>
      <c r="K247" s="81"/>
      <c r="L247" s="81"/>
      <c r="M247" s="81"/>
    </row>
    <row r="248" spans="1:13" x14ac:dyDescent="0.25">
      <c r="A248" s="120" t="s">
        <v>951</v>
      </c>
      <c r="B248" s="120" t="s">
        <v>951</v>
      </c>
      <c r="C248" s="120" t="s">
        <v>125</v>
      </c>
      <c r="D248" s="120" t="s">
        <v>124</v>
      </c>
      <c r="E248" s="120" t="s">
        <v>2</v>
      </c>
      <c r="F248" s="121">
        <v>55536</v>
      </c>
      <c r="H248" s="81"/>
      <c r="I248" s="81"/>
      <c r="J248" s="81"/>
      <c r="K248" s="81"/>
      <c r="L248" s="81"/>
      <c r="M248" s="81"/>
    </row>
    <row r="249" spans="1:13" x14ac:dyDescent="0.25">
      <c r="A249" s="120" t="s">
        <v>951</v>
      </c>
      <c r="B249" s="120" t="s">
        <v>951</v>
      </c>
      <c r="C249" s="120" t="s">
        <v>125</v>
      </c>
      <c r="D249" s="120" t="s">
        <v>124</v>
      </c>
      <c r="E249" s="120" t="s">
        <v>298</v>
      </c>
      <c r="F249" s="121">
        <v>55536</v>
      </c>
      <c r="H249" s="81"/>
      <c r="I249" s="81"/>
      <c r="J249" s="81"/>
      <c r="K249" s="81"/>
      <c r="L249" s="81"/>
      <c r="M249" s="81"/>
    </row>
    <row r="250" spans="1:13" x14ac:dyDescent="0.25">
      <c r="A250" s="120" t="s">
        <v>951</v>
      </c>
      <c r="B250" s="120" t="s">
        <v>951</v>
      </c>
      <c r="C250" s="120" t="s">
        <v>125</v>
      </c>
      <c r="D250" s="120" t="s">
        <v>124</v>
      </c>
      <c r="E250" s="120" t="s">
        <v>294</v>
      </c>
      <c r="F250" s="121">
        <v>54491</v>
      </c>
      <c r="H250" s="81"/>
      <c r="I250" s="81"/>
      <c r="J250" s="81"/>
      <c r="K250" s="81"/>
      <c r="L250" s="81"/>
      <c r="M250" s="81"/>
    </row>
    <row r="251" spans="1:13" x14ac:dyDescent="0.25">
      <c r="A251" s="120" t="s">
        <v>951</v>
      </c>
      <c r="B251" s="120" t="s">
        <v>951</v>
      </c>
      <c r="C251" s="120" t="s">
        <v>125</v>
      </c>
      <c r="D251" s="120" t="s">
        <v>124</v>
      </c>
      <c r="E251" s="120" t="s">
        <v>1</v>
      </c>
      <c r="F251" s="121">
        <v>39268</v>
      </c>
      <c r="H251" s="81"/>
      <c r="I251" s="81"/>
      <c r="J251" s="81"/>
      <c r="K251" s="81"/>
      <c r="L251" s="81"/>
      <c r="M251" s="81"/>
    </row>
    <row r="252" spans="1:13" x14ac:dyDescent="0.25">
      <c r="A252" s="120" t="s">
        <v>951</v>
      </c>
      <c r="B252" s="120" t="s">
        <v>951</v>
      </c>
      <c r="C252" s="120" t="s">
        <v>125</v>
      </c>
      <c r="D252" s="120" t="s">
        <v>126</v>
      </c>
      <c r="E252" s="120" t="s">
        <v>3</v>
      </c>
      <c r="F252" s="121">
        <v>22082</v>
      </c>
      <c r="H252" s="81"/>
      <c r="I252" s="81"/>
      <c r="J252" s="81"/>
      <c r="K252" s="81"/>
      <c r="L252" s="81"/>
      <c r="M252" s="81"/>
    </row>
    <row r="253" spans="1:13" x14ac:dyDescent="0.25">
      <c r="A253" s="120" t="s">
        <v>951</v>
      </c>
      <c r="B253" s="120" t="s">
        <v>951</v>
      </c>
      <c r="C253" s="120" t="s">
        <v>125</v>
      </c>
      <c r="D253" s="120" t="s">
        <v>126</v>
      </c>
      <c r="E253" s="120" t="s">
        <v>0</v>
      </c>
      <c r="F253" s="121">
        <v>17235</v>
      </c>
      <c r="H253" s="81"/>
      <c r="I253" s="81"/>
      <c r="J253" s="81"/>
      <c r="K253" s="81"/>
      <c r="L253" s="81"/>
      <c r="M253" s="81"/>
    </row>
    <row r="254" spans="1:13" x14ac:dyDescent="0.25">
      <c r="A254" s="120" t="s">
        <v>951</v>
      </c>
      <c r="B254" s="120" t="s">
        <v>951</v>
      </c>
      <c r="C254" s="120" t="s">
        <v>125</v>
      </c>
      <c r="D254" s="120" t="s">
        <v>126</v>
      </c>
      <c r="E254" s="120" t="s">
        <v>2</v>
      </c>
      <c r="F254" s="121">
        <v>22082</v>
      </c>
      <c r="H254" s="81"/>
      <c r="I254" s="81"/>
      <c r="J254" s="81"/>
      <c r="K254" s="81"/>
      <c r="L254" s="81"/>
      <c r="M254" s="81"/>
    </row>
    <row r="255" spans="1:13" x14ac:dyDescent="0.25">
      <c r="A255" s="120" t="s">
        <v>951</v>
      </c>
      <c r="B255" s="120" t="s">
        <v>951</v>
      </c>
      <c r="C255" s="120" t="s">
        <v>125</v>
      </c>
      <c r="D255" s="120" t="s">
        <v>126</v>
      </c>
      <c r="E255" s="120" t="s">
        <v>298</v>
      </c>
      <c r="F255" s="121">
        <v>22082</v>
      </c>
      <c r="H255" s="81"/>
      <c r="I255" s="81"/>
      <c r="J255" s="81"/>
      <c r="K255" s="81"/>
      <c r="L255" s="81"/>
      <c r="M255" s="81"/>
    </row>
    <row r="256" spans="1:13" x14ac:dyDescent="0.25">
      <c r="A256" s="120" t="s">
        <v>951</v>
      </c>
      <c r="B256" s="120" t="s">
        <v>951</v>
      </c>
      <c r="C256" s="120" t="s">
        <v>125</v>
      </c>
      <c r="D256" s="120" t="s">
        <v>126</v>
      </c>
      <c r="E256" s="120" t="s">
        <v>294</v>
      </c>
      <c r="F256" s="121">
        <v>22082</v>
      </c>
      <c r="H256" s="81"/>
      <c r="I256" s="81"/>
      <c r="J256" s="81"/>
      <c r="K256" s="81"/>
      <c r="L256" s="81"/>
      <c r="M256" s="81"/>
    </row>
    <row r="257" spans="1:13" x14ac:dyDescent="0.25">
      <c r="A257" s="120" t="s">
        <v>951</v>
      </c>
      <c r="B257" s="120" t="s">
        <v>951</v>
      </c>
      <c r="C257" s="120" t="s">
        <v>125</v>
      </c>
      <c r="D257" s="120" t="s">
        <v>126</v>
      </c>
      <c r="E257" s="120" t="s">
        <v>1</v>
      </c>
      <c r="F257" s="121">
        <v>17235</v>
      </c>
      <c r="H257" s="81"/>
      <c r="I257" s="81"/>
      <c r="J257" s="81"/>
      <c r="K257" s="81"/>
      <c r="L257" s="81"/>
      <c r="M257" s="81"/>
    </row>
    <row r="258" spans="1:13" x14ac:dyDescent="0.25">
      <c r="A258" s="120" t="s">
        <v>951</v>
      </c>
      <c r="B258" s="120" t="s">
        <v>951</v>
      </c>
      <c r="C258" s="120" t="s">
        <v>125</v>
      </c>
      <c r="D258" s="120" t="s">
        <v>129</v>
      </c>
      <c r="E258" s="120" t="s">
        <v>3</v>
      </c>
      <c r="F258" s="121">
        <v>72062</v>
      </c>
      <c r="H258" s="81"/>
      <c r="I258" s="81"/>
      <c r="J258" s="81"/>
      <c r="K258" s="81"/>
      <c r="L258" s="81"/>
      <c r="M258" s="81"/>
    </row>
    <row r="259" spans="1:13" x14ac:dyDescent="0.25">
      <c r="A259" s="120" t="s">
        <v>951</v>
      </c>
      <c r="B259" s="120" t="s">
        <v>951</v>
      </c>
      <c r="C259" s="120" t="s">
        <v>125</v>
      </c>
      <c r="D259" s="120" t="s">
        <v>129</v>
      </c>
      <c r="E259" s="120" t="s">
        <v>0</v>
      </c>
      <c r="F259" s="121">
        <v>54140</v>
      </c>
      <c r="H259" s="81"/>
      <c r="I259" s="81"/>
      <c r="J259" s="81"/>
      <c r="K259" s="81"/>
      <c r="L259" s="81"/>
      <c r="M259" s="81"/>
    </row>
    <row r="260" spans="1:13" x14ac:dyDescent="0.25">
      <c r="A260" s="120" t="s">
        <v>951</v>
      </c>
      <c r="B260" s="120" t="s">
        <v>951</v>
      </c>
      <c r="C260" s="120" t="s">
        <v>125</v>
      </c>
      <c r="D260" s="120" t="s">
        <v>129</v>
      </c>
      <c r="E260" s="120" t="s">
        <v>2</v>
      </c>
      <c r="F260" s="121">
        <v>72062</v>
      </c>
      <c r="H260" s="81"/>
      <c r="I260" s="81"/>
      <c r="J260" s="81"/>
      <c r="K260" s="81"/>
      <c r="L260" s="81"/>
      <c r="M260" s="81"/>
    </row>
    <row r="261" spans="1:13" x14ac:dyDescent="0.25">
      <c r="A261" s="120" t="s">
        <v>951</v>
      </c>
      <c r="B261" s="120" t="s">
        <v>951</v>
      </c>
      <c r="C261" s="120" t="s">
        <v>125</v>
      </c>
      <c r="D261" s="120" t="s">
        <v>129</v>
      </c>
      <c r="E261" s="120" t="s">
        <v>298</v>
      </c>
      <c r="F261" s="121">
        <v>72062</v>
      </c>
      <c r="H261" s="81"/>
      <c r="I261" s="81"/>
      <c r="J261" s="81"/>
      <c r="K261" s="81"/>
      <c r="L261" s="81"/>
      <c r="M261" s="81"/>
    </row>
    <row r="262" spans="1:13" x14ac:dyDescent="0.25">
      <c r="A262" s="120" t="s">
        <v>951</v>
      </c>
      <c r="B262" s="120" t="s">
        <v>951</v>
      </c>
      <c r="C262" s="120" t="s">
        <v>125</v>
      </c>
      <c r="D262" s="120" t="s">
        <v>129</v>
      </c>
      <c r="E262" s="120" t="s">
        <v>294</v>
      </c>
      <c r="F262" s="121">
        <v>72062</v>
      </c>
      <c r="H262" s="81"/>
      <c r="I262" s="81"/>
      <c r="J262" s="81"/>
      <c r="K262" s="81"/>
      <c r="L262" s="81"/>
      <c r="M262" s="81"/>
    </row>
    <row r="263" spans="1:13" x14ac:dyDescent="0.25">
      <c r="A263" s="120" t="s">
        <v>951</v>
      </c>
      <c r="B263" s="120" t="s">
        <v>951</v>
      </c>
      <c r="C263" s="120" t="s">
        <v>125</v>
      </c>
      <c r="D263" s="120" t="s">
        <v>129</v>
      </c>
      <c r="E263" s="120" t="s">
        <v>1</v>
      </c>
      <c r="F263" s="121">
        <v>54140</v>
      </c>
      <c r="H263" s="81"/>
      <c r="I263" s="81"/>
      <c r="J263" s="81"/>
      <c r="K263" s="81"/>
      <c r="L263" s="81"/>
      <c r="M263" s="81"/>
    </row>
    <row r="264" spans="1:13" x14ac:dyDescent="0.25">
      <c r="A264" s="120" t="s">
        <v>951</v>
      </c>
      <c r="B264" s="120" t="s">
        <v>951</v>
      </c>
      <c r="C264" s="120" t="s">
        <v>125</v>
      </c>
      <c r="D264" s="120" t="s">
        <v>130</v>
      </c>
      <c r="E264" s="120" t="s">
        <v>3</v>
      </c>
      <c r="F264" s="121">
        <v>1979</v>
      </c>
      <c r="H264" s="81"/>
      <c r="I264" s="81"/>
      <c r="J264" s="81"/>
      <c r="K264" s="81"/>
      <c r="L264" s="81"/>
      <c r="M264" s="81"/>
    </row>
    <row r="265" spans="1:13" x14ac:dyDescent="0.25">
      <c r="A265" s="120" t="s">
        <v>951</v>
      </c>
      <c r="B265" s="120" t="s">
        <v>951</v>
      </c>
      <c r="C265" s="120" t="s">
        <v>125</v>
      </c>
      <c r="D265" s="120" t="s">
        <v>130</v>
      </c>
      <c r="E265" s="120" t="s">
        <v>0</v>
      </c>
      <c r="F265" s="121">
        <v>1946</v>
      </c>
      <c r="H265" s="81"/>
      <c r="I265" s="81"/>
      <c r="J265" s="81"/>
      <c r="K265" s="81"/>
      <c r="L265" s="81"/>
      <c r="M265" s="81"/>
    </row>
    <row r="266" spans="1:13" x14ac:dyDescent="0.25">
      <c r="A266" s="120" t="s">
        <v>951</v>
      </c>
      <c r="B266" s="120" t="s">
        <v>951</v>
      </c>
      <c r="C266" s="120" t="s">
        <v>125</v>
      </c>
      <c r="D266" s="120" t="s">
        <v>130</v>
      </c>
      <c r="E266" s="120" t="s">
        <v>2</v>
      </c>
      <c r="F266" s="121">
        <v>1979</v>
      </c>
      <c r="H266" s="81"/>
      <c r="I266" s="81"/>
      <c r="J266" s="81"/>
      <c r="K266" s="81"/>
      <c r="L266" s="81"/>
      <c r="M266" s="81"/>
    </row>
    <row r="267" spans="1:13" x14ac:dyDescent="0.25">
      <c r="A267" s="120" t="s">
        <v>951</v>
      </c>
      <c r="B267" s="120" t="s">
        <v>951</v>
      </c>
      <c r="C267" s="120" t="s">
        <v>125</v>
      </c>
      <c r="D267" s="120" t="s">
        <v>130</v>
      </c>
      <c r="E267" s="120" t="s">
        <v>298</v>
      </c>
      <c r="F267" s="121">
        <v>1979</v>
      </c>
      <c r="H267" s="81"/>
      <c r="I267" s="81"/>
      <c r="J267" s="81"/>
      <c r="K267" s="81"/>
      <c r="L267" s="81"/>
      <c r="M267" s="81"/>
    </row>
    <row r="268" spans="1:13" x14ac:dyDescent="0.25">
      <c r="A268" s="120" t="s">
        <v>951</v>
      </c>
      <c r="B268" s="120" t="s">
        <v>951</v>
      </c>
      <c r="C268" s="120" t="s">
        <v>125</v>
      </c>
      <c r="D268" s="120" t="s">
        <v>130</v>
      </c>
      <c r="E268" s="120" t="s">
        <v>294</v>
      </c>
      <c r="F268" s="121">
        <v>192</v>
      </c>
      <c r="H268" s="81"/>
      <c r="I268" s="81"/>
      <c r="J268" s="81"/>
      <c r="K268" s="81"/>
      <c r="L268" s="81"/>
      <c r="M268" s="81"/>
    </row>
    <row r="269" spans="1:13" x14ac:dyDescent="0.25">
      <c r="A269" s="120" t="s">
        <v>951</v>
      </c>
      <c r="B269" s="120" t="s">
        <v>951</v>
      </c>
      <c r="C269" s="120" t="s">
        <v>125</v>
      </c>
      <c r="D269" s="120" t="s">
        <v>130</v>
      </c>
      <c r="E269" s="120" t="s">
        <v>1</v>
      </c>
      <c r="F269" s="121">
        <v>1946</v>
      </c>
      <c r="H269" s="81"/>
      <c r="I269" s="81"/>
      <c r="J269" s="81"/>
      <c r="K269" s="81"/>
      <c r="L269" s="81"/>
      <c r="M269" s="81"/>
    </row>
    <row r="270" spans="1:13" x14ac:dyDescent="0.25">
      <c r="A270" s="120" t="s">
        <v>951</v>
      </c>
      <c r="B270" s="120" t="s">
        <v>951</v>
      </c>
      <c r="C270" s="120" t="s">
        <v>125</v>
      </c>
      <c r="D270" s="120" t="s">
        <v>131</v>
      </c>
      <c r="E270" s="120" t="s">
        <v>3</v>
      </c>
      <c r="F270" s="121">
        <v>0</v>
      </c>
      <c r="H270" s="81"/>
      <c r="I270" s="81"/>
      <c r="J270" s="81"/>
      <c r="K270" s="81"/>
      <c r="L270" s="81"/>
      <c r="M270" s="81"/>
    </row>
    <row r="271" spans="1:13" x14ac:dyDescent="0.25">
      <c r="A271" s="120" t="s">
        <v>951</v>
      </c>
      <c r="B271" s="120" t="s">
        <v>951</v>
      </c>
      <c r="C271" s="120" t="s">
        <v>125</v>
      </c>
      <c r="D271" s="120" t="s">
        <v>131</v>
      </c>
      <c r="E271" s="120" t="s">
        <v>0</v>
      </c>
      <c r="F271" s="121">
        <v>0</v>
      </c>
      <c r="H271" s="81"/>
      <c r="I271" s="81"/>
      <c r="J271" s="81"/>
      <c r="K271" s="81"/>
      <c r="L271" s="81"/>
      <c r="M271" s="81"/>
    </row>
    <row r="272" spans="1:13" x14ac:dyDescent="0.25">
      <c r="A272" s="120" t="s">
        <v>951</v>
      </c>
      <c r="B272" s="120" t="s">
        <v>951</v>
      </c>
      <c r="C272" s="120" t="s">
        <v>125</v>
      </c>
      <c r="D272" s="120" t="s">
        <v>131</v>
      </c>
      <c r="E272" s="120" t="s">
        <v>2</v>
      </c>
      <c r="F272" s="121">
        <v>0</v>
      </c>
      <c r="H272" s="81"/>
      <c r="I272" s="81"/>
      <c r="J272" s="81"/>
      <c r="K272" s="81"/>
      <c r="L272" s="81"/>
      <c r="M272" s="81"/>
    </row>
    <row r="273" spans="1:13" x14ac:dyDescent="0.25">
      <c r="A273" s="120" t="s">
        <v>951</v>
      </c>
      <c r="B273" s="120" t="s">
        <v>951</v>
      </c>
      <c r="C273" s="120" t="s">
        <v>125</v>
      </c>
      <c r="D273" s="120" t="s">
        <v>131</v>
      </c>
      <c r="E273" s="120" t="s">
        <v>294</v>
      </c>
      <c r="F273" s="121">
        <v>0</v>
      </c>
      <c r="H273" s="81"/>
      <c r="I273" s="81"/>
      <c r="J273" s="81"/>
      <c r="K273" s="81"/>
      <c r="L273" s="81"/>
      <c r="M273" s="81"/>
    </row>
    <row r="274" spans="1:13" x14ac:dyDescent="0.25">
      <c r="A274" s="120" t="s">
        <v>951</v>
      </c>
      <c r="B274" s="120" t="s">
        <v>951</v>
      </c>
      <c r="C274" s="120" t="s">
        <v>125</v>
      </c>
      <c r="D274" s="120" t="s">
        <v>131</v>
      </c>
      <c r="E274" s="120" t="s">
        <v>1</v>
      </c>
      <c r="F274" s="121">
        <v>0</v>
      </c>
      <c r="H274" s="81"/>
      <c r="I274" s="81"/>
      <c r="J274" s="81"/>
      <c r="K274" s="81"/>
      <c r="L274" s="81"/>
      <c r="M274" s="81"/>
    </row>
    <row r="275" spans="1:13" x14ac:dyDescent="0.25">
      <c r="A275" s="120" t="s">
        <v>951</v>
      </c>
      <c r="B275" s="120" t="s">
        <v>951</v>
      </c>
      <c r="C275" s="120" t="s">
        <v>125</v>
      </c>
      <c r="D275" s="120" t="s">
        <v>133</v>
      </c>
      <c r="E275" s="120" t="s">
        <v>3</v>
      </c>
      <c r="F275" s="121">
        <v>0</v>
      </c>
      <c r="H275" s="81"/>
      <c r="I275" s="81"/>
      <c r="J275" s="81"/>
      <c r="K275" s="81"/>
      <c r="L275" s="81"/>
      <c r="M275" s="81"/>
    </row>
    <row r="276" spans="1:13" x14ac:dyDescent="0.25">
      <c r="A276" s="120" t="s">
        <v>951</v>
      </c>
      <c r="B276" s="120" t="s">
        <v>951</v>
      </c>
      <c r="C276" s="120" t="s">
        <v>125</v>
      </c>
      <c r="D276" s="120" t="s">
        <v>133</v>
      </c>
      <c r="E276" s="120" t="s">
        <v>0</v>
      </c>
      <c r="F276" s="121">
        <v>0</v>
      </c>
      <c r="H276" s="81"/>
      <c r="I276" s="81"/>
      <c r="J276" s="81"/>
      <c r="K276" s="81"/>
      <c r="L276" s="81"/>
      <c r="M276" s="81"/>
    </row>
    <row r="277" spans="1:13" x14ac:dyDescent="0.25">
      <c r="A277" s="120" t="s">
        <v>951</v>
      </c>
      <c r="B277" s="120" t="s">
        <v>951</v>
      </c>
      <c r="C277" s="120" t="s">
        <v>125</v>
      </c>
      <c r="D277" s="120" t="s">
        <v>133</v>
      </c>
      <c r="E277" s="120" t="s">
        <v>2</v>
      </c>
      <c r="F277" s="121">
        <v>0</v>
      </c>
      <c r="H277" s="81"/>
      <c r="I277" s="81"/>
      <c r="J277" s="81"/>
      <c r="K277" s="81"/>
      <c r="L277" s="81"/>
      <c r="M277" s="81"/>
    </row>
    <row r="278" spans="1:13" x14ac:dyDescent="0.25">
      <c r="A278" s="120" t="s">
        <v>951</v>
      </c>
      <c r="B278" s="120" t="s">
        <v>951</v>
      </c>
      <c r="C278" s="120" t="s">
        <v>125</v>
      </c>
      <c r="D278" s="120" t="s">
        <v>133</v>
      </c>
      <c r="E278" s="120" t="s">
        <v>294</v>
      </c>
      <c r="F278" s="121">
        <v>0</v>
      </c>
      <c r="H278" s="81"/>
      <c r="I278" s="81"/>
      <c r="J278" s="81"/>
      <c r="K278" s="81"/>
      <c r="L278" s="81"/>
      <c r="M278" s="81"/>
    </row>
    <row r="279" spans="1:13" x14ac:dyDescent="0.25">
      <c r="A279" s="120" t="s">
        <v>951</v>
      </c>
      <c r="B279" s="120" t="s">
        <v>951</v>
      </c>
      <c r="C279" s="120" t="s">
        <v>125</v>
      </c>
      <c r="D279" s="120" t="s">
        <v>133</v>
      </c>
      <c r="E279" s="120" t="s">
        <v>1</v>
      </c>
      <c r="F279" s="121">
        <v>0</v>
      </c>
      <c r="H279" s="81"/>
      <c r="I279" s="81"/>
      <c r="J279" s="81"/>
      <c r="K279" s="81"/>
      <c r="L279" s="81"/>
      <c r="M279" s="81"/>
    </row>
    <row r="280" spans="1:13" x14ac:dyDescent="0.25">
      <c r="A280" s="120" t="s">
        <v>951</v>
      </c>
      <c r="B280" s="120" t="s">
        <v>951</v>
      </c>
      <c r="C280" s="120" t="s">
        <v>125</v>
      </c>
      <c r="D280" s="120" t="s">
        <v>127</v>
      </c>
      <c r="E280" s="120" t="s">
        <v>3</v>
      </c>
      <c r="F280" s="121">
        <v>21552</v>
      </c>
      <c r="H280" s="81"/>
      <c r="I280" s="81"/>
      <c r="J280" s="81"/>
      <c r="K280" s="81"/>
      <c r="L280" s="81"/>
      <c r="M280" s="81"/>
    </row>
    <row r="281" spans="1:13" x14ac:dyDescent="0.25">
      <c r="A281" s="120" t="s">
        <v>951</v>
      </c>
      <c r="B281" s="120" t="s">
        <v>951</v>
      </c>
      <c r="C281" s="120" t="s">
        <v>125</v>
      </c>
      <c r="D281" s="120" t="s">
        <v>127</v>
      </c>
      <c r="E281" s="120" t="s">
        <v>0</v>
      </c>
      <c r="F281" s="121">
        <v>11567</v>
      </c>
      <c r="H281" s="81"/>
      <c r="I281" s="81"/>
      <c r="J281" s="81"/>
      <c r="K281" s="81"/>
      <c r="L281" s="81"/>
      <c r="M281" s="81"/>
    </row>
    <row r="282" spans="1:13" x14ac:dyDescent="0.25">
      <c r="A282" s="120" t="s">
        <v>951</v>
      </c>
      <c r="B282" s="120" t="s">
        <v>951</v>
      </c>
      <c r="C282" s="120" t="s">
        <v>125</v>
      </c>
      <c r="D282" s="120" t="s">
        <v>127</v>
      </c>
      <c r="E282" s="120" t="s">
        <v>2</v>
      </c>
      <c r="F282" s="121">
        <v>21552</v>
      </c>
      <c r="H282" s="81"/>
      <c r="I282" s="81"/>
      <c r="J282" s="81"/>
      <c r="K282" s="81"/>
      <c r="L282" s="81"/>
      <c r="M282" s="81"/>
    </row>
    <row r="283" spans="1:13" x14ac:dyDescent="0.25">
      <c r="A283" s="120" t="s">
        <v>951</v>
      </c>
      <c r="B283" s="120" t="s">
        <v>951</v>
      </c>
      <c r="C283" s="120" t="s">
        <v>125</v>
      </c>
      <c r="D283" s="120" t="s">
        <v>127</v>
      </c>
      <c r="E283" s="120" t="s">
        <v>298</v>
      </c>
      <c r="F283" s="121">
        <v>21552</v>
      </c>
      <c r="H283" s="81"/>
      <c r="I283" s="81"/>
      <c r="J283" s="81"/>
      <c r="K283" s="81"/>
      <c r="L283" s="81"/>
      <c r="M283" s="81"/>
    </row>
    <row r="284" spans="1:13" x14ac:dyDescent="0.25">
      <c r="A284" s="120" t="s">
        <v>951</v>
      </c>
      <c r="B284" s="120" t="s">
        <v>951</v>
      </c>
      <c r="C284" s="120" t="s">
        <v>125</v>
      </c>
      <c r="D284" s="120" t="s">
        <v>127</v>
      </c>
      <c r="E284" s="120" t="s">
        <v>294</v>
      </c>
      <c r="F284" s="121">
        <v>21550</v>
      </c>
      <c r="H284" s="81"/>
      <c r="I284" s="81"/>
      <c r="J284" s="81"/>
      <c r="K284" s="81"/>
      <c r="L284" s="81"/>
      <c r="M284" s="81"/>
    </row>
    <row r="285" spans="1:13" x14ac:dyDescent="0.25">
      <c r="A285" s="120" t="s">
        <v>951</v>
      </c>
      <c r="B285" s="120" t="s">
        <v>951</v>
      </c>
      <c r="C285" s="120" t="s">
        <v>125</v>
      </c>
      <c r="D285" s="120" t="s">
        <v>127</v>
      </c>
      <c r="E285" s="120" t="s">
        <v>1</v>
      </c>
      <c r="F285" s="121">
        <v>11567</v>
      </c>
      <c r="H285" s="81"/>
      <c r="I285" s="81"/>
      <c r="J285" s="81"/>
      <c r="K285" s="81"/>
      <c r="L285" s="81"/>
      <c r="M285" s="81"/>
    </row>
    <row r="286" spans="1:13" x14ac:dyDescent="0.25">
      <c r="A286" s="120" t="s">
        <v>951</v>
      </c>
      <c r="B286" s="120" t="s">
        <v>951</v>
      </c>
      <c r="C286" s="120" t="s">
        <v>125</v>
      </c>
      <c r="D286" s="120" t="s">
        <v>128</v>
      </c>
      <c r="E286" s="120" t="s">
        <v>3</v>
      </c>
      <c r="F286" s="121">
        <v>7284</v>
      </c>
      <c r="H286" s="81"/>
      <c r="I286" s="81"/>
      <c r="J286" s="81"/>
      <c r="K286" s="81"/>
      <c r="L286" s="81"/>
      <c r="M286" s="81"/>
    </row>
    <row r="287" spans="1:13" x14ac:dyDescent="0.25">
      <c r="A287" s="120" t="s">
        <v>951</v>
      </c>
      <c r="B287" s="120" t="s">
        <v>951</v>
      </c>
      <c r="C287" s="120" t="s">
        <v>125</v>
      </c>
      <c r="D287" s="120" t="s">
        <v>128</v>
      </c>
      <c r="E287" s="120" t="s">
        <v>0</v>
      </c>
      <c r="F287" s="121">
        <v>6460</v>
      </c>
      <c r="H287" s="81"/>
      <c r="I287" s="81"/>
      <c r="J287" s="81"/>
      <c r="K287" s="81"/>
      <c r="L287" s="81"/>
      <c r="M287" s="81"/>
    </row>
    <row r="288" spans="1:13" x14ac:dyDescent="0.25">
      <c r="A288" s="120" t="s">
        <v>951</v>
      </c>
      <c r="B288" s="120" t="s">
        <v>951</v>
      </c>
      <c r="C288" s="120" t="s">
        <v>125</v>
      </c>
      <c r="D288" s="120" t="s">
        <v>128</v>
      </c>
      <c r="E288" s="120" t="s">
        <v>2</v>
      </c>
      <c r="F288" s="121">
        <v>7284</v>
      </c>
      <c r="H288" s="81"/>
      <c r="I288" s="81"/>
      <c r="J288" s="81"/>
      <c r="K288" s="81"/>
      <c r="L288" s="81"/>
      <c r="M288" s="81"/>
    </row>
    <row r="289" spans="1:13" x14ac:dyDescent="0.25">
      <c r="A289" s="120" t="s">
        <v>951</v>
      </c>
      <c r="B289" s="120" t="s">
        <v>951</v>
      </c>
      <c r="C289" s="120" t="s">
        <v>125</v>
      </c>
      <c r="D289" s="120" t="s">
        <v>128</v>
      </c>
      <c r="E289" s="120" t="s">
        <v>298</v>
      </c>
      <c r="F289" s="121">
        <v>7284</v>
      </c>
      <c r="H289" s="81"/>
      <c r="I289" s="81"/>
      <c r="J289" s="81"/>
      <c r="K289" s="81"/>
      <c r="L289" s="81"/>
      <c r="M289" s="81"/>
    </row>
    <row r="290" spans="1:13" x14ac:dyDescent="0.25">
      <c r="A290" s="120" t="s">
        <v>951</v>
      </c>
      <c r="B290" s="120" t="s">
        <v>951</v>
      </c>
      <c r="C290" s="120" t="s">
        <v>125</v>
      </c>
      <c r="D290" s="120" t="s">
        <v>128</v>
      </c>
      <c r="E290" s="120" t="s">
        <v>294</v>
      </c>
      <c r="F290" s="121">
        <v>7002</v>
      </c>
      <c r="H290" s="81"/>
      <c r="I290" s="81"/>
      <c r="J290" s="81"/>
      <c r="K290" s="81"/>
      <c r="L290" s="81"/>
      <c r="M290" s="81"/>
    </row>
    <row r="291" spans="1:13" x14ac:dyDescent="0.25">
      <c r="A291" s="120" t="s">
        <v>951</v>
      </c>
      <c r="B291" s="120" t="s">
        <v>951</v>
      </c>
      <c r="C291" s="120" t="s">
        <v>125</v>
      </c>
      <c r="D291" s="120" t="s">
        <v>128</v>
      </c>
      <c r="E291" s="120" t="s">
        <v>1</v>
      </c>
      <c r="F291" s="121">
        <v>6460</v>
      </c>
      <c r="H291" s="81"/>
      <c r="I291" s="81"/>
      <c r="J291" s="81"/>
      <c r="K291" s="81"/>
      <c r="L291" s="81"/>
      <c r="M291" s="81"/>
    </row>
    <row r="292" spans="1:13" x14ac:dyDescent="0.25">
      <c r="A292" s="120" t="s">
        <v>951</v>
      </c>
      <c r="B292" s="120" t="s">
        <v>951</v>
      </c>
      <c r="C292" s="120" t="s">
        <v>125</v>
      </c>
      <c r="D292" s="120" t="s">
        <v>134</v>
      </c>
      <c r="E292" s="120" t="s">
        <v>3</v>
      </c>
      <c r="F292" s="121">
        <v>10768</v>
      </c>
      <c r="H292" s="81"/>
      <c r="I292" s="81"/>
      <c r="J292" s="81"/>
      <c r="K292" s="81"/>
      <c r="L292" s="81"/>
      <c r="M292" s="81"/>
    </row>
    <row r="293" spans="1:13" x14ac:dyDescent="0.25">
      <c r="A293" s="120" t="s">
        <v>951</v>
      </c>
      <c r="B293" s="120" t="s">
        <v>951</v>
      </c>
      <c r="C293" s="120" t="s">
        <v>125</v>
      </c>
      <c r="D293" s="120" t="s">
        <v>134</v>
      </c>
      <c r="E293" s="120" t="s">
        <v>0</v>
      </c>
      <c r="F293" s="121">
        <v>6438</v>
      </c>
      <c r="H293" s="81"/>
      <c r="I293" s="81"/>
      <c r="J293" s="81"/>
      <c r="K293" s="81"/>
      <c r="L293" s="81"/>
      <c r="M293" s="81"/>
    </row>
    <row r="294" spans="1:13" x14ac:dyDescent="0.25">
      <c r="A294" s="120" t="s">
        <v>951</v>
      </c>
      <c r="B294" s="120" t="s">
        <v>951</v>
      </c>
      <c r="C294" s="120" t="s">
        <v>125</v>
      </c>
      <c r="D294" s="120" t="s">
        <v>134</v>
      </c>
      <c r="E294" s="120" t="s">
        <v>2</v>
      </c>
      <c r="F294" s="121">
        <v>10768</v>
      </c>
      <c r="H294" s="81"/>
      <c r="I294" s="81"/>
      <c r="J294" s="81"/>
      <c r="K294" s="81"/>
      <c r="L294" s="81"/>
      <c r="M294" s="81"/>
    </row>
    <row r="295" spans="1:13" x14ac:dyDescent="0.25">
      <c r="A295" s="120" t="s">
        <v>951</v>
      </c>
      <c r="B295" s="120" t="s">
        <v>951</v>
      </c>
      <c r="C295" s="120" t="s">
        <v>125</v>
      </c>
      <c r="D295" s="120" t="s">
        <v>134</v>
      </c>
      <c r="E295" s="120" t="s">
        <v>298</v>
      </c>
      <c r="F295" s="121">
        <v>10768</v>
      </c>
      <c r="H295" s="81"/>
      <c r="I295" s="81"/>
      <c r="J295" s="81"/>
      <c r="K295" s="81"/>
      <c r="L295" s="81"/>
      <c r="M295" s="81"/>
    </row>
    <row r="296" spans="1:13" x14ac:dyDescent="0.25">
      <c r="A296" s="120" t="s">
        <v>951</v>
      </c>
      <c r="B296" s="120" t="s">
        <v>951</v>
      </c>
      <c r="C296" s="120" t="s">
        <v>125</v>
      </c>
      <c r="D296" s="120" t="s">
        <v>134</v>
      </c>
      <c r="E296" s="120" t="s">
        <v>294</v>
      </c>
      <c r="F296" s="121">
        <v>6124</v>
      </c>
      <c r="H296" s="81"/>
      <c r="I296" s="81"/>
      <c r="J296" s="81"/>
      <c r="K296" s="81"/>
      <c r="L296" s="81"/>
      <c r="M296" s="81"/>
    </row>
    <row r="297" spans="1:13" x14ac:dyDescent="0.25">
      <c r="A297" s="120" t="s">
        <v>951</v>
      </c>
      <c r="B297" s="120" t="s">
        <v>951</v>
      </c>
      <c r="C297" s="120" t="s">
        <v>125</v>
      </c>
      <c r="D297" s="120" t="s">
        <v>134</v>
      </c>
      <c r="E297" s="120" t="s">
        <v>1</v>
      </c>
      <c r="F297" s="121">
        <v>6438</v>
      </c>
      <c r="H297" s="81"/>
      <c r="I297" s="81"/>
      <c r="J297" s="81"/>
      <c r="K297" s="81"/>
      <c r="L297" s="81"/>
      <c r="M297" s="81"/>
    </row>
    <row r="298" spans="1:13" x14ac:dyDescent="0.25">
      <c r="A298" s="120" t="s">
        <v>951</v>
      </c>
      <c r="B298" s="120" t="s">
        <v>951</v>
      </c>
      <c r="C298" s="120" t="s">
        <v>136</v>
      </c>
      <c r="D298" s="120" t="s">
        <v>138</v>
      </c>
      <c r="E298" s="120" t="s">
        <v>3</v>
      </c>
      <c r="F298" s="121">
        <v>133063</v>
      </c>
      <c r="H298" s="81"/>
      <c r="I298" s="81"/>
      <c r="J298" s="81"/>
      <c r="K298" s="81"/>
      <c r="L298" s="81"/>
      <c r="M298" s="81"/>
    </row>
    <row r="299" spans="1:13" x14ac:dyDescent="0.25">
      <c r="A299" s="120" t="s">
        <v>951</v>
      </c>
      <c r="B299" s="120" t="s">
        <v>951</v>
      </c>
      <c r="C299" s="120" t="s">
        <v>136</v>
      </c>
      <c r="D299" s="120" t="s">
        <v>138</v>
      </c>
      <c r="E299" s="120" t="s">
        <v>0</v>
      </c>
      <c r="F299" s="121">
        <v>99866</v>
      </c>
      <c r="H299" s="81"/>
      <c r="I299" s="81"/>
      <c r="J299" s="81"/>
      <c r="K299" s="81"/>
      <c r="L299" s="81"/>
      <c r="M299" s="81"/>
    </row>
    <row r="300" spans="1:13" x14ac:dyDescent="0.25">
      <c r="A300" s="120" t="s">
        <v>951</v>
      </c>
      <c r="B300" s="120" t="s">
        <v>951</v>
      </c>
      <c r="C300" s="120" t="s">
        <v>136</v>
      </c>
      <c r="D300" s="120" t="s">
        <v>138</v>
      </c>
      <c r="E300" s="120" t="s">
        <v>2</v>
      </c>
      <c r="F300" s="121">
        <v>133063</v>
      </c>
      <c r="H300" s="81"/>
      <c r="I300" s="81"/>
      <c r="J300" s="81"/>
      <c r="K300" s="81"/>
      <c r="L300" s="81"/>
      <c r="M300" s="81"/>
    </row>
    <row r="301" spans="1:13" x14ac:dyDescent="0.25">
      <c r="A301" s="120" t="s">
        <v>951</v>
      </c>
      <c r="B301" s="120" t="s">
        <v>951</v>
      </c>
      <c r="C301" s="120" t="s">
        <v>136</v>
      </c>
      <c r="D301" s="120" t="s">
        <v>138</v>
      </c>
      <c r="E301" s="120" t="s">
        <v>298</v>
      </c>
      <c r="F301" s="121">
        <v>133063</v>
      </c>
      <c r="H301" s="81"/>
      <c r="I301" s="81"/>
      <c r="J301" s="81"/>
      <c r="K301" s="81"/>
      <c r="L301" s="81"/>
      <c r="M301" s="81"/>
    </row>
    <row r="302" spans="1:13" x14ac:dyDescent="0.25">
      <c r="A302" s="120" t="s">
        <v>951</v>
      </c>
      <c r="B302" s="120" t="s">
        <v>951</v>
      </c>
      <c r="C302" s="120" t="s">
        <v>136</v>
      </c>
      <c r="D302" s="120" t="s">
        <v>138</v>
      </c>
      <c r="E302" s="120" t="s">
        <v>294</v>
      </c>
      <c r="F302" s="121">
        <v>133063</v>
      </c>
      <c r="H302" s="81"/>
      <c r="I302" s="81"/>
      <c r="J302" s="81"/>
      <c r="K302" s="81"/>
      <c r="L302" s="81"/>
      <c r="M302" s="81"/>
    </row>
    <row r="303" spans="1:13" x14ac:dyDescent="0.25">
      <c r="A303" s="120" t="s">
        <v>951</v>
      </c>
      <c r="B303" s="120" t="s">
        <v>951</v>
      </c>
      <c r="C303" s="120" t="s">
        <v>136</v>
      </c>
      <c r="D303" s="120" t="s">
        <v>138</v>
      </c>
      <c r="E303" s="120" t="s">
        <v>1</v>
      </c>
      <c r="F303" s="121">
        <v>99866</v>
      </c>
      <c r="H303" s="81"/>
      <c r="I303" s="81"/>
      <c r="J303" s="81"/>
      <c r="K303" s="81"/>
      <c r="L303" s="81"/>
      <c r="M303" s="81"/>
    </row>
    <row r="304" spans="1:13" x14ac:dyDescent="0.25">
      <c r="A304" s="120" t="s">
        <v>951</v>
      </c>
      <c r="B304" s="120" t="s">
        <v>951</v>
      </c>
      <c r="C304" s="120" t="s">
        <v>136</v>
      </c>
      <c r="D304" s="120" t="s">
        <v>140</v>
      </c>
      <c r="E304" s="120" t="s">
        <v>3</v>
      </c>
      <c r="F304" s="121">
        <v>2476</v>
      </c>
      <c r="H304" s="81"/>
      <c r="I304" s="81"/>
      <c r="J304" s="81"/>
      <c r="K304" s="81"/>
      <c r="L304" s="81"/>
      <c r="M304" s="81"/>
    </row>
    <row r="305" spans="1:13" x14ac:dyDescent="0.25">
      <c r="A305" s="120" t="s">
        <v>951</v>
      </c>
      <c r="B305" s="120" t="s">
        <v>951</v>
      </c>
      <c r="C305" s="120" t="s">
        <v>136</v>
      </c>
      <c r="D305" s="120" t="s">
        <v>140</v>
      </c>
      <c r="E305" s="120" t="s">
        <v>0</v>
      </c>
      <c r="F305" s="121">
        <v>1879</v>
      </c>
      <c r="H305" s="81"/>
      <c r="I305" s="81"/>
      <c r="J305" s="81"/>
      <c r="K305" s="81"/>
      <c r="L305" s="81"/>
      <c r="M305" s="81"/>
    </row>
    <row r="306" spans="1:13" x14ac:dyDescent="0.25">
      <c r="A306" s="120" t="s">
        <v>951</v>
      </c>
      <c r="B306" s="120" t="s">
        <v>951</v>
      </c>
      <c r="C306" s="120" t="s">
        <v>136</v>
      </c>
      <c r="D306" s="120" t="s">
        <v>140</v>
      </c>
      <c r="E306" s="120" t="s">
        <v>2</v>
      </c>
      <c r="F306" s="121">
        <v>2476</v>
      </c>
      <c r="H306" s="81"/>
      <c r="I306" s="81"/>
      <c r="J306" s="81"/>
      <c r="K306" s="81"/>
      <c r="L306" s="81"/>
      <c r="M306" s="81"/>
    </row>
    <row r="307" spans="1:13" x14ac:dyDescent="0.25">
      <c r="A307" s="120" t="s">
        <v>951</v>
      </c>
      <c r="B307" s="120" t="s">
        <v>951</v>
      </c>
      <c r="C307" s="120" t="s">
        <v>136</v>
      </c>
      <c r="D307" s="120" t="s">
        <v>140</v>
      </c>
      <c r="E307" s="120" t="s">
        <v>298</v>
      </c>
      <c r="F307" s="121">
        <v>2476</v>
      </c>
      <c r="H307" s="81"/>
      <c r="I307" s="81"/>
      <c r="J307" s="81"/>
      <c r="K307" s="81"/>
      <c r="L307" s="81"/>
      <c r="M307" s="81"/>
    </row>
    <row r="308" spans="1:13" x14ac:dyDescent="0.25">
      <c r="A308" s="120" t="s">
        <v>951</v>
      </c>
      <c r="B308" s="120" t="s">
        <v>951</v>
      </c>
      <c r="C308" s="120" t="s">
        <v>136</v>
      </c>
      <c r="D308" s="120" t="s">
        <v>140</v>
      </c>
      <c r="E308" s="120" t="s">
        <v>294</v>
      </c>
      <c r="F308" s="121">
        <v>2476</v>
      </c>
      <c r="H308" s="81"/>
      <c r="I308" s="81"/>
      <c r="J308" s="81"/>
      <c r="K308" s="81"/>
      <c r="L308" s="81"/>
      <c r="M308" s="81"/>
    </row>
    <row r="309" spans="1:13" x14ac:dyDescent="0.25">
      <c r="A309" s="120" t="s">
        <v>951</v>
      </c>
      <c r="B309" s="120" t="s">
        <v>951</v>
      </c>
      <c r="C309" s="120" t="s">
        <v>136</v>
      </c>
      <c r="D309" s="120" t="s">
        <v>140</v>
      </c>
      <c r="E309" s="120" t="s">
        <v>1</v>
      </c>
      <c r="F309" s="121">
        <v>1879</v>
      </c>
      <c r="H309" s="81"/>
      <c r="I309" s="81"/>
      <c r="J309" s="81"/>
      <c r="K309" s="81"/>
      <c r="L309" s="81"/>
      <c r="M309" s="81"/>
    </row>
    <row r="310" spans="1:13" x14ac:dyDescent="0.25">
      <c r="A310" s="120" t="s">
        <v>951</v>
      </c>
      <c r="B310" s="120" t="s">
        <v>951</v>
      </c>
      <c r="C310" s="120" t="s">
        <v>136</v>
      </c>
      <c r="D310" s="120" t="s">
        <v>141</v>
      </c>
      <c r="E310" s="120" t="s">
        <v>3</v>
      </c>
      <c r="F310" s="121">
        <v>1233</v>
      </c>
      <c r="H310" s="81"/>
      <c r="I310" s="81"/>
      <c r="J310" s="81"/>
      <c r="K310" s="81"/>
      <c r="L310" s="81"/>
      <c r="M310" s="81"/>
    </row>
    <row r="311" spans="1:13" x14ac:dyDescent="0.25">
      <c r="A311" s="120" t="s">
        <v>951</v>
      </c>
      <c r="B311" s="120" t="s">
        <v>951</v>
      </c>
      <c r="C311" s="120" t="s">
        <v>136</v>
      </c>
      <c r="D311" s="120" t="s">
        <v>141</v>
      </c>
      <c r="E311" s="120" t="s">
        <v>0</v>
      </c>
      <c r="F311" s="121">
        <v>891</v>
      </c>
      <c r="H311" s="81"/>
      <c r="I311" s="81"/>
      <c r="J311" s="81"/>
      <c r="K311" s="81"/>
      <c r="L311" s="81"/>
      <c r="M311" s="81"/>
    </row>
    <row r="312" spans="1:13" x14ac:dyDescent="0.25">
      <c r="A312" s="120" t="s">
        <v>951</v>
      </c>
      <c r="B312" s="120" t="s">
        <v>951</v>
      </c>
      <c r="C312" s="120" t="s">
        <v>136</v>
      </c>
      <c r="D312" s="120" t="s">
        <v>141</v>
      </c>
      <c r="E312" s="120" t="s">
        <v>2</v>
      </c>
      <c r="F312" s="121">
        <v>1233</v>
      </c>
      <c r="H312" s="81"/>
      <c r="I312" s="81"/>
      <c r="J312" s="81"/>
      <c r="K312" s="81"/>
      <c r="L312" s="81"/>
      <c r="M312" s="81"/>
    </row>
    <row r="313" spans="1:13" x14ac:dyDescent="0.25">
      <c r="A313" s="120" t="s">
        <v>951</v>
      </c>
      <c r="B313" s="120" t="s">
        <v>951</v>
      </c>
      <c r="C313" s="120" t="s">
        <v>136</v>
      </c>
      <c r="D313" s="120" t="s">
        <v>141</v>
      </c>
      <c r="E313" s="120" t="s">
        <v>298</v>
      </c>
      <c r="F313" s="121">
        <v>1233</v>
      </c>
      <c r="H313" s="81"/>
      <c r="I313" s="81"/>
      <c r="J313" s="81"/>
      <c r="K313" s="81"/>
      <c r="L313" s="81"/>
      <c r="M313" s="81"/>
    </row>
    <row r="314" spans="1:13" x14ac:dyDescent="0.25">
      <c r="A314" s="120" t="s">
        <v>951</v>
      </c>
      <c r="B314" s="120" t="s">
        <v>951</v>
      </c>
      <c r="C314" s="120" t="s">
        <v>136</v>
      </c>
      <c r="D314" s="120" t="s">
        <v>141</v>
      </c>
      <c r="E314" s="120" t="s">
        <v>294</v>
      </c>
      <c r="F314" s="121">
        <v>1233</v>
      </c>
      <c r="H314" s="81"/>
      <c r="I314" s="81"/>
      <c r="J314" s="81"/>
      <c r="K314" s="81"/>
      <c r="L314" s="81"/>
      <c r="M314" s="81"/>
    </row>
    <row r="315" spans="1:13" x14ac:dyDescent="0.25">
      <c r="A315" s="120" t="s">
        <v>951</v>
      </c>
      <c r="B315" s="120" t="s">
        <v>951</v>
      </c>
      <c r="C315" s="120" t="s">
        <v>136</v>
      </c>
      <c r="D315" s="120" t="s">
        <v>141</v>
      </c>
      <c r="E315" s="120" t="s">
        <v>1</v>
      </c>
      <c r="F315" s="121">
        <v>891</v>
      </c>
      <c r="H315" s="81"/>
      <c r="I315" s="81"/>
      <c r="J315" s="81"/>
      <c r="K315" s="81"/>
      <c r="L315" s="81"/>
      <c r="M315" s="81"/>
    </row>
    <row r="316" spans="1:13" x14ac:dyDescent="0.25">
      <c r="A316" s="120" t="s">
        <v>951</v>
      </c>
      <c r="B316" s="120" t="s">
        <v>951</v>
      </c>
      <c r="C316" s="120" t="s">
        <v>143</v>
      </c>
      <c r="D316" s="120" t="s">
        <v>142</v>
      </c>
      <c r="E316" s="120" t="s">
        <v>3</v>
      </c>
      <c r="F316" s="121">
        <v>257</v>
      </c>
      <c r="H316" s="81"/>
      <c r="I316" s="81"/>
      <c r="J316" s="81"/>
      <c r="K316" s="81"/>
      <c r="L316" s="81"/>
      <c r="M316" s="81"/>
    </row>
    <row r="317" spans="1:13" x14ac:dyDescent="0.25">
      <c r="A317" s="120" t="s">
        <v>951</v>
      </c>
      <c r="B317" s="120" t="s">
        <v>951</v>
      </c>
      <c r="C317" s="120" t="s">
        <v>143</v>
      </c>
      <c r="D317" s="120" t="s">
        <v>142</v>
      </c>
      <c r="E317" s="120" t="s">
        <v>0</v>
      </c>
      <c r="F317" s="121">
        <v>257</v>
      </c>
      <c r="H317" s="81"/>
      <c r="I317" s="81"/>
      <c r="J317" s="81"/>
      <c r="K317" s="81"/>
      <c r="L317" s="81"/>
      <c r="M317" s="81"/>
    </row>
    <row r="318" spans="1:13" x14ac:dyDescent="0.25">
      <c r="A318" s="120" t="s">
        <v>951</v>
      </c>
      <c r="B318" s="120" t="s">
        <v>951</v>
      </c>
      <c r="C318" s="120" t="s">
        <v>143</v>
      </c>
      <c r="D318" s="120" t="s">
        <v>142</v>
      </c>
      <c r="E318" s="120" t="s">
        <v>2</v>
      </c>
      <c r="F318" s="121">
        <v>257</v>
      </c>
      <c r="H318" s="81"/>
      <c r="I318" s="81"/>
      <c r="J318" s="81"/>
      <c r="K318" s="81"/>
      <c r="L318" s="81"/>
      <c r="M318" s="81"/>
    </row>
    <row r="319" spans="1:13" x14ac:dyDescent="0.25">
      <c r="A319" s="120" t="s">
        <v>951</v>
      </c>
      <c r="B319" s="120" t="s">
        <v>951</v>
      </c>
      <c r="C319" s="120" t="s">
        <v>143</v>
      </c>
      <c r="D319" s="120" t="s">
        <v>142</v>
      </c>
      <c r="E319" s="120" t="s">
        <v>298</v>
      </c>
      <c r="F319" s="121">
        <v>257</v>
      </c>
      <c r="H319" s="81"/>
      <c r="I319" s="81"/>
      <c r="J319" s="81"/>
      <c r="K319" s="81"/>
      <c r="L319" s="81"/>
      <c r="M319" s="81"/>
    </row>
    <row r="320" spans="1:13" x14ac:dyDescent="0.25">
      <c r="A320" s="120" t="s">
        <v>951</v>
      </c>
      <c r="B320" s="120" t="s">
        <v>951</v>
      </c>
      <c r="C320" s="120" t="s">
        <v>143</v>
      </c>
      <c r="D320" s="120" t="s">
        <v>142</v>
      </c>
      <c r="E320" s="120" t="s">
        <v>1</v>
      </c>
      <c r="F320" s="121">
        <v>257</v>
      </c>
      <c r="H320" s="81"/>
      <c r="I320" s="81"/>
      <c r="J320" s="81"/>
      <c r="K320" s="81"/>
      <c r="L320" s="81"/>
      <c r="M320" s="81"/>
    </row>
    <row r="321" spans="1:13" x14ac:dyDescent="0.25">
      <c r="A321" s="120" t="s">
        <v>951</v>
      </c>
      <c r="B321" s="120" t="s">
        <v>951</v>
      </c>
      <c r="C321" s="120" t="s">
        <v>147</v>
      </c>
      <c r="D321" s="120" t="s">
        <v>148</v>
      </c>
      <c r="E321" s="120" t="s">
        <v>0</v>
      </c>
      <c r="F321" s="121">
        <v>0</v>
      </c>
      <c r="H321" s="81"/>
      <c r="I321" s="81"/>
      <c r="J321" s="81"/>
      <c r="K321" s="81"/>
      <c r="L321" s="81"/>
      <c r="M321" s="81"/>
    </row>
    <row r="322" spans="1:13" x14ac:dyDescent="0.25">
      <c r="A322" s="120" t="s">
        <v>951</v>
      </c>
      <c r="B322" s="120" t="s">
        <v>951</v>
      </c>
      <c r="C322" s="120" t="s">
        <v>147</v>
      </c>
      <c r="D322" s="120" t="s">
        <v>148</v>
      </c>
      <c r="E322" s="120" t="s">
        <v>2</v>
      </c>
      <c r="F322" s="121">
        <v>0</v>
      </c>
      <c r="H322" s="81"/>
      <c r="I322" s="81"/>
      <c r="J322" s="81"/>
      <c r="K322" s="81"/>
      <c r="L322" s="81"/>
      <c r="M322" s="81"/>
    </row>
    <row r="323" spans="1:13" x14ac:dyDescent="0.25">
      <c r="A323" s="120" t="s">
        <v>951</v>
      </c>
      <c r="B323" s="120" t="s">
        <v>951</v>
      </c>
      <c r="C323" s="120" t="s">
        <v>150</v>
      </c>
      <c r="D323" s="120" t="s">
        <v>152</v>
      </c>
      <c r="E323" s="120" t="s">
        <v>3</v>
      </c>
      <c r="F323" s="121">
        <v>0</v>
      </c>
      <c r="H323" s="81"/>
      <c r="I323" s="81"/>
      <c r="J323" s="81"/>
      <c r="K323" s="81"/>
      <c r="L323" s="81"/>
      <c r="M323" s="81"/>
    </row>
    <row r="324" spans="1:13" x14ac:dyDescent="0.25">
      <c r="A324" s="120" t="s">
        <v>951</v>
      </c>
      <c r="B324" s="120" t="s">
        <v>951</v>
      </c>
      <c r="C324" s="120" t="s">
        <v>150</v>
      </c>
      <c r="D324" s="120" t="s">
        <v>152</v>
      </c>
      <c r="E324" s="120" t="s">
        <v>2</v>
      </c>
      <c r="F324" s="121">
        <v>0</v>
      </c>
      <c r="H324" s="81"/>
      <c r="I324" s="81"/>
      <c r="J324" s="81"/>
      <c r="K324" s="81"/>
      <c r="L324" s="81"/>
      <c r="M324" s="81"/>
    </row>
    <row r="325" spans="1:13" x14ac:dyDescent="0.25">
      <c r="A325" s="120" t="s">
        <v>951</v>
      </c>
      <c r="B325" s="120" t="s">
        <v>951</v>
      </c>
      <c r="C325" s="120" t="s">
        <v>150</v>
      </c>
      <c r="D325" s="120" t="s">
        <v>152</v>
      </c>
      <c r="E325" s="120" t="s">
        <v>1</v>
      </c>
      <c r="F325" s="121">
        <v>0</v>
      </c>
      <c r="H325" s="81"/>
      <c r="I325" s="81"/>
      <c r="J325" s="81"/>
      <c r="K325" s="81"/>
      <c r="L325" s="81"/>
      <c r="M325" s="81"/>
    </row>
    <row r="326" spans="1:13" x14ac:dyDescent="0.25">
      <c r="A326" s="120" t="s">
        <v>951</v>
      </c>
      <c r="B326" s="120" t="s">
        <v>951</v>
      </c>
      <c r="C326" s="120" t="s">
        <v>155</v>
      </c>
      <c r="D326" s="120" t="s">
        <v>156</v>
      </c>
      <c r="E326" s="120" t="s">
        <v>3</v>
      </c>
      <c r="F326" s="121">
        <v>0</v>
      </c>
      <c r="H326" s="81"/>
      <c r="I326" s="81"/>
      <c r="J326" s="81"/>
      <c r="K326" s="81"/>
      <c r="L326" s="81"/>
      <c r="M326" s="81"/>
    </row>
    <row r="327" spans="1:13" x14ac:dyDescent="0.25">
      <c r="A327" s="120" t="s">
        <v>951</v>
      </c>
      <c r="B327" s="120" t="s">
        <v>951</v>
      </c>
      <c r="C327" s="120" t="s">
        <v>155</v>
      </c>
      <c r="D327" s="120" t="s">
        <v>156</v>
      </c>
      <c r="E327" s="120" t="s">
        <v>2</v>
      </c>
      <c r="F327" s="121">
        <v>0</v>
      </c>
      <c r="H327" s="81"/>
      <c r="I327" s="81"/>
      <c r="J327" s="81"/>
      <c r="K327" s="81"/>
      <c r="L327" s="81"/>
      <c r="M327" s="81"/>
    </row>
    <row r="328" spans="1:13" x14ac:dyDescent="0.25">
      <c r="A328" s="120" t="s">
        <v>951</v>
      </c>
      <c r="B328" s="120" t="s">
        <v>951</v>
      </c>
      <c r="C328" s="120" t="s">
        <v>158</v>
      </c>
      <c r="D328" s="120" t="s">
        <v>160</v>
      </c>
      <c r="E328" s="120" t="s">
        <v>3</v>
      </c>
      <c r="F328" s="121">
        <v>262489</v>
      </c>
      <c r="H328" s="81"/>
      <c r="I328" s="81"/>
      <c r="J328" s="81"/>
      <c r="K328" s="81"/>
      <c r="L328" s="81"/>
      <c r="M328" s="81"/>
    </row>
    <row r="329" spans="1:13" x14ac:dyDescent="0.25">
      <c r="A329" s="120" t="s">
        <v>951</v>
      </c>
      <c r="B329" s="120" t="s">
        <v>951</v>
      </c>
      <c r="C329" s="120" t="s">
        <v>158</v>
      </c>
      <c r="D329" s="120" t="s">
        <v>160</v>
      </c>
      <c r="E329" s="120" t="s">
        <v>295</v>
      </c>
      <c r="F329" s="121">
        <v>262489</v>
      </c>
      <c r="H329" s="81"/>
      <c r="I329" s="81"/>
      <c r="J329" s="81"/>
      <c r="K329" s="81"/>
      <c r="L329" s="81"/>
      <c r="M329" s="81"/>
    </row>
    <row r="330" spans="1:13" x14ac:dyDescent="0.25">
      <c r="A330" s="120" t="s">
        <v>951</v>
      </c>
      <c r="B330" s="120" t="s">
        <v>951</v>
      </c>
      <c r="C330" s="120" t="s">
        <v>158</v>
      </c>
      <c r="D330" s="120" t="s">
        <v>160</v>
      </c>
      <c r="E330" s="120" t="s">
        <v>337</v>
      </c>
      <c r="F330" s="121">
        <v>262489</v>
      </c>
      <c r="H330" s="81"/>
      <c r="I330" s="81"/>
      <c r="J330" s="81"/>
      <c r="K330" s="81"/>
      <c r="L330" s="81"/>
      <c r="M330" s="81"/>
    </row>
    <row r="331" spans="1:13" x14ac:dyDescent="0.25">
      <c r="A331" s="120" t="s">
        <v>951</v>
      </c>
      <c r="B331" s="120" t="s">
        <v>951</v>
      </c>
      <c r="C331" s="120" t="s">
        <v>158</v>
      </c>
      <c r="D331" s="120" t="s">
        <v>160</v>
      </c>
      <c r="E331" s="120" t="s">
        <v>0</v>
      </c>
      <c r="F331" s="121">
        <v>262489</v>
      </c>
      <c r="H331" s="81"/>
      <c r="I331" s="81"/>
      <c r="J331" s="81"/>
      <c r="K331" s="81"/>
      <c r="L331" s="81"/>
      <c r="M331" s="81"/>
    </row>
    <row r="332" spans="1:13" x14ac:dyDescent="0.25">
      <c r="A332" s="120" t="s">
        <v>951</v>
      </c>
      <c r="B332" s="120" t="s">
        <v>951</v>
      </c>
      <c r="C332" s="120" t="s">
        <v>158</v>
      </c>
      <c r="D332" s="120" t="s">
        <v>160</v>
      </c>
      <c r="E332" s="120" t="s">
        <v>2</v>
      </c>
      <c r="F332" s="121">
        <v>262489</v>
      </c>
      <c r="H332" s="81"/>
      <c r="I332" s="81"/>
      <c r="J332" s="81"/>
      <c r="K332" s="81"/>
      <c r="L332" s="81"/>
      <c r="M332" s="81"/>
    </row>
    <row r="333" spans="1:13" x14ac:dyDescent="0.25">
      <c r="A333" s="120" t="s">
        <v>951</v>
      </c>
      <c r="B333" s="120" t="s">
        <v>951</v>
      </c>
      <c r="C333" s="120" t="s">
        <v>158</v>
      </c>
      <c r="D333" s="120" t="s">
        <v>160</v>
      </c>
      <c r="E333" s="120" t="s">
        <v>298</v>
      </c>
      <c r="F333" s="121">
        <v>262489</v>
      </c>
      <c r="H333" s="81"/>
      <c r="I333" s="81"/>
      <c r="J333" s="81"/>
      <c r="K333" s="81"/>
      <c r="L333" s="81"/>
      <c r="M333" s="81"/>
    </row>
    <row r="334" spans="1:13" x14ac:dyDescent="0.25">
      <c r="A334" s="120" t="s">
        <v>951</v>
      </c>
      <c r="B334" s="120" t="s">
        <v>951</v>
      </c>
      <c r="C334" s="120" t="s">
        <v>158</v>
      </c>
      <c r="D334" s="120" t="s">
        <v>160</v>
      </c>
      <c r="E334" s="120" t="s">
        <v>294</v>
      </c>
      <c r="F334" s="122"/>
      <c r="H334" s="81"/>
      <c r="I334" s="81"/>
      <c r="J334" s="81"/>
      <c r="K334" s="81"/>
      <c r="L334" s="81"/>
      <c r="M334" s="81"/>
    </row>
    <row r="335" spans="1:13" x14ac:dyDescent="0.25">
      <c r="A335" s="120" t="s">
        <v>951</v>
      </c>
      <c r="B335" s="120" t="s">
        <v>951</v>
      </c>
      <c r="C335" s="120" t="s">
        <v>158</v>
      </c>
      <c r="D335" s="120" t="s">
        <v>160</v>
      </c>
      <c r="E335" s="120" t="s">
        <v>1</v>
      </c>
      <c r="F335" s="121">
        <v>262489</v>
      </c>
      <c r="H335" s="81"/>
      <c r="I335" s="81"/>
      <c r="J335" s="81"/>
      <c r="K335" s="81"/>
      <c r="L335" s="81"/>
      <c r="M335" s="81"/>
    </row>
    <row r="336" spans="1:13" x14ac:dyDescent="0.25">
      <c r="A336" s="120" t="s">
        <v>951</v>
      </c>
      <c r="B336" s="120" t="s">
        <v>951</v>
      </c>
      <c r="C336" s="120" t="s">
        <v>158</v>
      </c>
      <c r="D336" s="120" t="s">
        <v>160</v>
      </c>
      <c r="E336" s="120" t="s">
        <v>297</v>
      </c>
      <c r="F336" s="121">
        <v>262489</v>
      </c>
      <c r="H336" s="81"/>
      <c r="I336" s="81"/>
      <c r="J336" s="81"/>
      <c r="K336" s="81"/>
      <c r="L336" s="81"/>
      <c r="M336" s="81"/>
    </row>
    <row r="337" spans="1:13" x14ac:dyDescent="0.25">
      <c r="A337" s="120" t="s">
        <v>951</v>
      </c>
      <c r="B337" s="120" t="s">
        <v>951</v>
      </c>
      <c r="C337" s="120" t="s">
        <v>163</v>
      </c>
      <c r="D337" s="120" t="s">
        <v>166</v>
      </c>
      <c r="E337" s="120" t="s">
        <v>3</v>
      </c>
      <c r="F337" s="121">
        <v>3348</v>
      </c>
      <c r="H337" s="81"/>
      <c r="I337" s="81"/>
      <c r="J337" s="81"/>
      <c r="K337" s="81"/>
      <c r="L337" s="81"/>
      <c r="M337" s="81"/>
    </row>
    <row r="338" spans="1:13" x14ac:dyDescent="0.25">
      <c r="A338" s="120" t="s">
        <v>951</v>
      </c>
      <c r="B338" s="120" t="s">
        <v>951</v>
      </c>
      <c r="C338" s="120" t="s">
        <v>163</v>
      </c>
      <c r="D338" s="120" t="s">
        <v>166</v>
      </c>
      <c r="E338" s="120" t="s">
        <v>0</v>
      </c>
      <c r="F338" s="121">
        <v>3348</v>
      </c>
      <c r="H338" s="81"/>
      <c r="I338" s="81"/>
      <c r="J338" s="81"/>
      <c r="K338" s="81"/>
      <c r="L338" s="81"/>
      <c r="M338" s="81"/>
    </row>
    <row r="339" spans="1:13" x14ac:dyDescent="0.25">
      <c r="A339" s="120" t="s">
        <v>951</v>
      </c>
      <c r="B339" s="120" t="s">
        <v>951</v>
      </c>
      <c r="C339" s="120" t="s">
        <v>163</v>
      </c>
      <c r="D339" s="120" t="s">
        <v>166</v>
      </c>
      <c r="E339" s="120" t="s">
        <v>2</v>
      </c>
      <c r="F339" s="121">
        <v>3348</v>
      </c>
      <c r="H339" s="81"/>
      <c r="I339" s="81"/>
      <c r="J339" s="81"/>
      <c r="K339" s="81"/>
      <c r="L339" s="81"/>
      <c r="M339" s="81"/>
    </row>
    <row r="340" spans="1:13" x14ac:dyDescent="0.25">
      <c r="A340" s="120" t="s">
        <v>951</v>
      </c>
      <c r="B340" s="120" t="s">
        <v>951</v>
      </c>
      <c r="C340" s="120" t="s">
        <v>163</v>
      </c>
      <c r="D340" s="120" t="s">
        <v>166</v>
      </c>
      <c r="E340" s="120" t="s">
        <v>298</v>
      </c>
      <c r="F340" s="121">
        <v>3348</v>
      </c>
      <c r="H340" s="81"/>
      <c r="I340" s="81"/>
      <c r="J340" s="81"/>
      <c r="K340" s="81"/>
      <c r="L340" s="81"/>
      <c r="M340" s="81"/>
    </row>
    <row r="341" spans="1:13" x14ac:dyDescent="0.25">
      <c r="A341" s="120" t="s">
        <v>951</v>
      </c>
      <c r="B341" s="120" t="s">
        <v>951</v>
      </c>
      <c r="C341" s="120" t="s">
        <v>163</v>
      </c>
      <c r="D341" s="120" t="s">
        <v>166</v>
      </c>
      <c r="E341" s="120" t="s">
        <v>294</v>
      </c>
      <c r="F341" s="121">
        <v>3348</v>
      </c>
      <c r="H341" s="81"/>
      <c r="I341" s="81"/>
      <c r="J341" s="81"/>
      <c r="K341" s="81"/>
      <c r="L341" s="81"/>
      <c r="M341" s="81"/>
    </row>
    <row r="342" spans="1:13" x14ac:dyDescent="0.25">
      <c r="A342" s="120" t="s">
        <v>951</v>
      </c>
      <c r="B342" s="120" t="s">
        <v>951</v>
      </c>
      <c r="C342" s="120" t="s">
        <v>163</v>
      </c>
      <c r="D342" s="120" t="s">
        <v>166</v>
      </c>
      <c r="E342" s="120" t="s">
        <v>1</v>
      </c>
      <c r="F342" s="121">
        <v>3348</v>
      </c>
      <c r="H342" s="81"/>
      <c r="I342" s="81"/>
      <c r="J342" s="81"/>
      <c r="K342" s="81"/>
      <c r="L342" s="81"/>
      <c r="M342" s="81"/>
    </row>
    <row r="343" spans="1:13" x14ac:dyDescent="0.25">
      <c r="A343" s="120" t="s">
        <v>951</v>
      </c>
      <c r="B343" s="120" t="s">
        <v>951</v>
      </c>
      <c r="C343" s="120" t="s">
        <v>163</v>
      </c>
      <c r="D343" s="120" t="s">
        <v>167</v>
      </c>
      <c r="E343" s="120" t="s">
        <v>3</v>
      </c>
      <c r="F343" s="121">
        <v>0</v>
      </c>
      <c r="H343" s="81"/>
      <c r="I343" s="81"/>
      <c r="J343" s="81"/>
      <c r="K343" s="81"/>
      <c r="L343" s="81"/>
      <c r="M343" s="81"/>
    </row>
    <row r="344" spans="1:13" x14ac:dyDescent="0.25">
      <c r="A344" s="120" t="s">
        <v>951</v>
      </c>
      <c r="B344" s="120" t="s">
        <v>951</v>
      </c>
      <c r="C344" s="120" t="s">
        <v>163</v>
      </c>
      <c r="D344" s="120" t="s">
        <v>167</v>
      </c>
      <c r="E344" s="120" t="s">
        <v>0</v>
      </c>
      <c r="F344" s="121">
        <v>0</v>
      </c>
      <c r="H344" s="81"/>
      <c r="I344" s="81"/>
      <c r="J344" s="81"/>
      <c r="K344" s="81"/>
      <c r="L344" s="81"/>
      <c r="M344" s="81"/>
    </row>
    <row r="345" spans="1:13" x14ac:dyDescent="0.25">
      <c r="A345" s="120" t="s">
        <v>951</v>
      </c>
      <c r="B345" s="120" t="s">
        <v>951</v>
      </c>
      <c r="C345" s="120" t="s">
        <v>163</v>
      </c>
      <c r="D345" s="120" t="s">
        <v>167</v>
      </c>
      <c r="E345" s="120" t="s">
        <v>2</v>
      </c>
      <c r="F345" s="121">
        <v>0</v>
      </c>
      <c r="H345" s="81"/>
      <c r="I345" s="81"/>
      <c r="J345" s="81"/>
      <c r="K345" s="81"/>
      <c r="L345" s="81"/>
      <c r="M345" s="81"/>
    </row>
    <row r="346" spans="1:13" x14ac:dyDescent="0.25">
      <c r="A346" s="120" t="s">
        <v>951</v>
      </c>
      <c r="B346" s="120" t="s">
        <v>951</v>
      </c>
      <c r="C346" s="120" t="s">
        <v>163</v>
      </c>
      <c r="D346" s="120" t="s">
        <v>167</v>
      </c>
      <c r="E346" s="120" t="s">
        <v>294</v>
      </c>
      <c r="F346" s="121">
        <v>0</v>
      </c>
      <c r="H346" s="81"/>
      <c r="I346" s="81"/>
      <c r="J346" s="81"/>
      <c r="K346" s="81"/>
      <c r="L346" s="81"/>
      <c r="M346" s="81"/>
    </row>
    <row r="347" spans="1:13" x14ac:dyDescent="0.25">
      <c r="A347" s="120" t="s">
        <v>951</v>
      </c>
      <c r="B347" s="120" t="s">
        <v>951</v>
      </c>
      <c r="C347" s="120" t="s">
        <v>163</v>
      </c>
      <c r="D347" s="120" t="s">
        <v>167</v>
      </c>
      <c r="E347" s="120" t="s">
        <v>1</v>
      </c>
      <c r="F347" s="121">
        <v>0</v>
      </c>
      <c r="H347" s="81"/>
      <c r="I347" s="81"/>
      <c r="J347" s="81"/>
      <c r="K347" s="81"/>
      <c r="L347" s="81"/>
      <c r="M347" s="81"/>
    </row>
    <row r="348" spans="1:13" x14ac:dyDescent="0.25">
      <c r="A348" s="120" t="s">
        <v>951</v>
      </c>
      <c r="B348" s="120" t="s">
        <v>951</v>
      </c>
      <c r="C348" s="120" t="s">
        <v>163</v>
      </c>
      <c r="D348" s="120" t="s">
        <v>168</v>
      </c>
      <c r="E348" s="120" t="s">
        <v>3</v>
      </c>
      <c r="F348" s="121">
        <v>371900</v>
      </c>
      <c r="H348" s="81"/>
      <c r="I348" s="81"/>
      <c r="J348" s="81"/>
      <c r="K348" s="81"/>
      <c r="L348" s="81"/>
      <c r="M348" s="81"/>
    </row>
    <row r="349" spans="1:13" x14ac:dyDescent="0.25">
      <c r="A349" s="120" t="s">
        <v>951</v>
      </c>
      <c r="B349" s="120" t="s">
        <v>951</v>
      </c>
      <c r="C349" s="120" t="s">
        <v>163</v>
      </c>
      <c r="D349" s="120" t="s">
        <v>168</v>
      </c>
      <c r="E349" s="120" t="s">
        <v>0</v>
      </c>
      <c r="F349" s="121">
        <v>371900</v>
      </c>
      <c r="H349" s="81"/>
      <c r="I349" s="81"/>
      <c r="J349" s="81"/>
      <c r="K349" s="81"/>
      <c r="L349" s="81"/>
      <c r="M349" s="81"/>
    </row>
    <row r="350" spans="1:13" x14ac:dyDescent="0.25">
      <c r="A350" s="120" t="s">
        <v>951</v>
      </c>
      <c r="B350" s="120" t="s">
        <v>951</v>
      </c>
      <c r="C350" s="120" t="s">
        <v>163</v>
      </c>
      <c r="D350" s="120" t="s">
        <v>168</v>
      </c>
      <c r="E350" s="120" t="s">
        <v>2</v>
      </c>
      <c r="F350" s="121">
        <v>371900</v>
      </c>
      <c r="H350" s="81"/>
      <c r="I350" s="81"/>
      <c r="J350" s="81"/>
      <c r="K350" s="81"/>
      <c r="L350" s="81"/>
      <c r="M350" s="81"/>
    </row>
    <row r="351" spans="1:13" x14ac:dyDescent="0.25">
      <c r="A351" s="120" t="s">
        <v>951</v>
      </c>
      <c r="B351" s="120" t="s">
        <v>951</v>
      </c>
      <c r="C351" s="120" t="s">
        <v>163</v>
      </c>
      <c r="D351" s="120" t="s">
        <v>168</v>
      </c>
      <c r="E351" s="120" t="s">
        <v>298</v>
      </c>
      <c r="F351" s="121">
        <v>371900</v>
      </c>
      <c r="H351" s="81"/>
      <c r="I351" s="81"/>
      <c r="J351" s="81"/>
      <c r="K351" s="81"/>
      <c r="L351" s="81"/>
      <c r="M351" s="81"/>
    </row>
    <row r="352" spans="1:13" x14ac:dyDescent="0.25">
      <c r="A352" s="120" t="s">
        <v>951</v>
      </c>
      <c r="B352" s="120" t="s">
        <v>951</v>
      </c>
      <c r="C352" s="120" t="s">
        <v>163</v>
      </c>
      <c r="D352" s="120" t="s">
        <v>168</v>
      </c>
      <c r="E352" s="120" t="s">
        <v>294</v>
      </c>
      <c r="F352" s="121">
        <v>371900</v>
      </c>
      <c r="H352" s="81"/>
      <c r="I352" s="81"/>
      <c r="J352" s="81"/>
      <c r="K352" s="81"/>
      <c r="L352" s="81"/>
      <c r="M352" s="81"/>
    </row>
    <row r="353" spans="1:13" x14ac:dyDescent="0.25">
      <c r="A353" s="120" t="s">
        <v>951</v>
      </c>
      <c r="B353" s="120" t="s">
        <v>951</v>
      </c>
      <c r="C353" s="120" t="s">
        <v>163</v>
      </c>
      <c r="D353" s="120" t="s">
        <v>168</v>
      </c>
      <c r="E353" s="120" t="s">
        <v>1</v>
      </c>
      <c r="F353" s="121">
        <v>371900</v>
      </c>
      <c r="H353" s="81"/>
      <c r="I353" s="81"/>
      <c r="J353" s="81"/>
      <c r="K353" s="81"/>
      <c r="L353" s="81"/>
      <c r="M353" s="81"/>
    </row>
    <row r="354" spans="1:13" x14ac:dyDescent="0.25">
      <c r="A354" s="120" t="s">
        <v>951</v>
      </c>
      <c r="B354" s="120" t="s">
        <v>951</v>
      </c>
      <c r="C354" s="120" t="s">
        <v>163</v>
      </c>
      <c r="D354" s="120" t="s">
        <v>169</v>
      </c>
      <c r="E354" s="120" t="s">
        <v>3</v>
      </c>
      <c r="F354" s="121">
        <v>165387</v>
      </c>
      <c r="H354" s="81"/>
      <c r="I354" s="81"/>
      <c r="J354" s="81"/>
      <c r="K354" s="81"/>
      <c r="L354" s="81"/>
      <c r="M354" s="81"/>
    </row>
    <row r="355" spans="1:13" x14ac:dyDescent="0.25">
      <c r="A355" s="120" t="s">
        <v>951</v>
      </c>
      <c r="B355" s="120" t="s">
        <v>951</v>
      </c>
      <c r="C355" s="120" t="s">
        <v>163</v>
      </c>
      <c r="D355" s="120" t="s">
        <v>169</v>
      </c>
      <c r="E355" s="120" t="s">
        <v>0</v>
      </c>
      <c r="F355" s="121">
        <v>165387</v>
      </c>
      <c r="H355" s="81"/>
      <c r="I355" s="81"/>
      <c r="J355" s="81"/>
      <c r="K355" s="81"/>
      <c r="L355" s="81"/>
      <c r="M355" s="81"/>
    </row>
    <row r="356" spans="1:13" x14ac:dyDescent="0.25">
      <c r="A356" s="120" t="s">
        <v>951</v>
      </c>
      <c r="B356" s="120" t="s">
        <v>951</v>
      </c>
      <c r="C356" s="120" t="s">
        <v>163</v>
      </c>
      <c r="D356" s="120" t="s">
        <v>169</v>
      </c>
      <c r="E356" s="120" t="s">
        <v>2</v>
      </c>
      <c r="F356" s="121">
        <v>165387</v>
      </c>
      <c r="H356" s="81"/>
      <c r="I356" s="81"/>
      <c r="J356" s="81"/>
      <c r="K356" s="81"/>
      <c r="L356" s="81"/>
      <c r="M356" s="81"/>
    </row>
    <row r="357" spans="1:13" x14ac:dyDescent="0.25">
      <c r="A357" s="120" t="s">
        <v>951</v>
      </c>
      <c r="B357" s="120" t="s">
        <v>951</v>
      </c>
      <c r="C357" s="120" t="s">
        <v>163</v>
      </c>
      <c r="D357" s="120" t="s">
        <v>169</v>
      </c>
      <c r="E357" s="120" t="s">
        <v>298</v>
      </c>
      <c r="F357" s="121">
        <v>165387</v>
      </c>
      <c r="H357" s="81"/>
      <c r="I357" s="81"/>
      <c r="J357" s="81"/>
      <c r="K357" s="81"/>
      <c r="L357" s="81"/>
      <c r="M357" s="81"/>
    </row>
    <row r="358" spans="1:13" x14ac:dyDescent="0.25">
      <c r="A358" s="120" t="s">
        <v>951</v>
      </c>
      <c r="B358" s="120" t="s">
        <v>951</v>
      </c>
      <c r="C358" s="120" t="s">
        <v>163</v>
      </c>
      <c r="D358" s="120" t="s">
        <v>169</v>
      </c>
      <c r="E358" s="120" t="s">
        <v>294</v>
      </c>
      <c r="F358" s="121">
        <v>165387</v>
      </c>
      <c r="H358" s="81"/>
      <c r="I358" s="81"/>
      <c r="J358" s="81"/>
      <c r="K358" s="81"/>
      <c r="L358" s="81"/>
      <c r="M358" s="81"/>
    </row>
    <row r="359" spans="1:13" x14ac:dyDescent="0.25">
      <c r="A359" s="120" t="s">
        <v>951</v>
      </c>
      <c r="B359" s="120" t="s">
        <v>951</v>
      </c>
      <c r="C359" s="120" t="s">
        <v>163</v>
      </c>
      <c r="D359" s="120" t="s">
        <v>169</v>
      </c>
      <c r="E359" s="120" t="s">
        <v>1</v>
      </c>
      <c r="F359" s="121">
        <v>165387</v>
      </c>
      <c r="H359" s="81"/>
      <c r="I359" s="81"/>
      <c r="J359" s="81"/>
      <c r="K359" s="81"/>
      <c r="L359" s="81"/>
      <c r="M359" s="81"/>
    </row>
    <row r="360" spans="1:13" x14ac:dyDescent="0.25">
      <c r="A360" s="120" t="s">
        <v>951</v>
      </c>
      <c r="B360" s="120" t="s">
        <v>951</v>
      </c>
      <c r="C360" s="120" t="s">
        <v>163</v>
      </c>
      <c r="D360" s="120" t="s">
        <v>170</v>
      </c>
      <c r="E360" s="120" t="s">
        <v>3</v>
      </c>
      <c r="F360" s="121">
        <v>178700</v>
      </c>
      <c r="H360" s="81"/>
      <c r="I360" s="81"/>
      <c r="J360" s="81"/>
      <c r="K360" s="81"/>
      <c r="L360" s="81"/>
      <c r="M360" s="81"/>
    </row>
    <row r="361" spans="1:13" x14ac:dyDescent="0.25">
      <c r="A361" s="120" t="s">
        <v>951</v>
      </c>
      <c r="B361" s="120" t="s">
        <v>951</v>
      </c>
      <c r="C361" s="120" t="s">
        <v>163</v>
      </c>
      <c r="D361" s="120" t="s">
        <v>170</v>
      </c>
      <c r="E361" s="120" t="s">
        <v>0</v>
      </c>
      <c r="F361" s="121">
        <v>178700</v>
      </c>
      <c r="H361" s="81"/>
      <c r="I361" s="81"/>
      <c r="J361" s="81"/>
      <c r="K361" s="81"/>
      <c r="L361" s="81"/>
      <c r="M361" s="81"/>
    </row>
    <row r="362" spans="1:13" x14ac:dyDescent="0.25">
      <c r="A362" s="120" t="s">
        <v>951</v>
      </c>
      <c r="B362" s="120" t="s">
        <v>951</v>
      </c>
      <c r="C362" s="120" t="s">
        <v>163</v>
      </c>
      <c r="D362" s="120" t="s">
        <v>170</v>
      </c>
      <c r="E362" s="120" t="s">
        <v>2</v>
      </c>
      <c r="F362" s="121">
        <v>178700</v>
      </c>
      <c r="H362" s="81"/>
      <c r="I362" s="81"/>
      <c r="J362" s="81"/>
      <c r="K362" s="81"/>
      <c r="L362" s="81"/>
      <c r="M362" s="81"/>
    </row>
    <row r="363" spans="1:13" x14ac:dyDescent="0.25">
      <c r="A363" s="120" t="s">
        <v>951</v>
      </c>
      <c r="B363" s="120" t="s">
        <v>951</v>
      </c>
      <c r="C363" s="120" t="s">
        <v>163</v>
      </c>
      <c r="D363" s="120" t="s">
        <v>170</v>
      </c>
      <c r="E363" s="120" t="s">
        <v>298</v>
      </c>
      <c r="F363" s="121">
        <v>178700</v>
      </c>
      <c r="H363" s="81"/>
      <c r="I363" s="81"/>
      <c r="J363" s="81"/>
      <c r="K363" s="81"/>
      <c r="L363" s="81"/>
      <c r="M363" s="81"/>
    </row>
    <row r="364" spans="1:13" x14ac:dyDescent="0.25">
      <c r="A364" s="120" t="s">
        <v>951</v>
      </c>
      <c r="B364" s="120" t="s">
        <v>951</v>
      </c>
      <c r="C364" s="120" t="s">
        <v>163</v>
      </c>
      <c r="D364" s="120" t="s">
        <v>170</v>
      </c>
      <c r="E364" s="120" t="s">
        <v>294</v>
      </c>
      <c r="F364" s="121">
        <v>178700</v>
      </c>
      <c r="H364" s="81"/>
      <c r="I364" s="81"/>
      <c r="J364" s="81"/>
      <c r="K364" s="81"/>
      <c r="L364" s="81"/>
      <c r="M364" s="81"/>
    </row>
    <row r="365" spans="1:13" x14ac:dyDescent="0.25">
      <c r="A365" s="120" t="s">
        <v>951</v>
      </c>
      <c r="B365" s="120" t="s">
        <v>951</v>
      </c>
      <c r="C365" s="120" t="s">
        <v>163</v>
      </c>
      <c r="D365" s="120" t="s">
        <v>170</v>
      </c>
      <c r="E365" s="120" t="s">
        <v>1</v>
      </c>
      <c r="F365" s="121">
        <v>178700</v>
      </c>
      <c r="H365" s="81"/>
      <c r="I365" s="81"/>
      <c r="J365" s="81"/>
      <c r="K365" s="81"/>
      <c r="L365" s="81"/>
      <c r="M365" s="81"/>
    </row>
    <row r="366" spans="1:13" x14ac:dyDescent="0.25">
      <c r="A366" s="120" t="s">
        <v>951</v>
      </c>
      <c r="B366" s="120" t="s">
        <v>951</v>
      </c>
      <c r="C366" s="120" t="s">
        <v>172</v>
      </c>
      <c r="D366" s="120" t="s">
        <v>174</v>
      </c>
      <c r="E366" s="120" t="s">
        <v>3</v>
      </c>
      <c r="F366" s="121">
        <v>32476</v>
      </c>
      <c r="H366" s="81"/>
      <c r="I366" s="81"/>
      <c r="J366" s="81"/>
      <c r="K366" s="81"/>
      <c r="L366" s="81"/>
      <c r="M366" s="81"/>
    </row>
    <row r="367" spans="1:13" x14ac:dyDescent="0.25">
      <c r="A367" s="120" t="s">
        <v>951</v>
      </c>
      <c r="B367" s="120" t="s">
        <v>951</v>
      </c>
      <c r="C367" s="120" t="s">
        <v>172</v>
      </c>
      <c r="D367" s="120" t="s">
        <v>174</v>
      </c>
      <c r="E367" s="120" t="s">
        <v>0</v>
      </c>
      <c r="F367" s="121">
        <v>32476</v>
      </c>
      <c r="H367" s="81"/>
      <c r="I367" s="81"/>
      <c r="J367" s="81"/>
      <c r="K367" s="81"/>
      <c r="L367" s="81"/>
      <c r="M367" s="81"/>
    </row>
    <row r="368" spans="1:13" x14ac:dyDescent="0.25">
      <c r="A368" s="120" t="s">
        <v>951</v>
      </c>
      <c r="B368" s="120" t="s">
        <v>951</v>
      </c>
      <c r="C368" s="120" t="s">
        <v>172</v>
      </c>
      <c r="D368" s="120" t="s">
        <v>174</v>
      </c>
      <c r="E368" s="120" t="s">
        <v>2</v>
      </c>
      <c r="F368" s="121">
        <v>32476</v>
      </c>
      <c r="H368" s="81"/>
      <c r="I368" s="81"/>
      <c r="J368" s="81"/>
      <c r="K368" s="81"/>
      <c r="L368" s="81"/>
      <c r="M368" s="81"/>
    </row>
    <row r="369" spans="1:13" x14ac:dyDescent="0.25">
      <c r="A369" s="120" t="s">
        <v>951</v>
      </c>
      <c r="B369" s="120" t="s">
        <v>951</v>
      </c>
      <c r="C369" s="120" t="s">
        <v>172</v>
      </c>
      <c r="D369" s="120" t="s">
        <v>174</v>
      </c>
      <c r="E369" s="120" t="s">
        <v>298</v>
      </c>
      <c r="F369" s="121">
        <v>32476</v>
      </c>
      <c r="H369" s="81"/>
      <c r="I369" s="81"/>
      <c r="J369" s="81"/>
      <c r="K369" s="81"/>
      <c r="L369" s="81"/>
      <c r="M369" s="81"/>
    </row>
    <row r="370" spans="1:13" x14ac:dyDescent="0.25">
      <c r="A370" s="120" t="s">
        <v>951</v>
      </c>
      <c r="B370" s="120" t="s">
        <v>951</v>
      </c>
      <c r="C370" s="120" t="s">
        <v>172</v>
      </c>
      <c r="D370" s="120" t="s">
        <v>174</v>
      </c>
      <c r="E370" s="120" t="s">
        <v>294</v>
      </c>
      <c r="F370" s="121">
        <v>32342</v>
      </c>
      <c r="H370" s="81"/>
      <c r="I370" s="81"/>
      <c r="J370" s="81"/>
      <c r="K370" s="81"/>
      <c r="L370" s="81"/>
      <c r="M370" s="81"/>
    </row>
    <row r="371" spans="1:13" x14ac:dyDescent="0.25">
      <c r="A371" s="120" t="s">
        <v>951</v>
      </c>
      <c r="B371" s="120" t="s">
        <v>951</v>
      </c>
      <c r="C371" s="120" t="s">
        <v>172</v>
      </c>
      <c r="D371" s="120" t="s">
        <v>174</v>
      </c>
      <c r="E371" s="120" t="s">
        <v>1</v>
      </c>
      <c r="F371" s="121">
        <v>32476</v>
      </c>
      <c r="H371" s="81"/>
      <c r="I371" s="81"/>
      <c r="J371" s="81"/>
      <c r="K371" s="81"/>
      <c r="L371" s="81"/>
      <c r="M371" s="81"/>
    </row>
    <row r="372" spans="1:13" x14ac:dyDescent="0.25">
      <c r="A372" s="120" t="s">
        <v>951</v>
      </c>
      <c r="B372" s="120" t="s">
        <v>951</v>
      </c>
      <c r="C372" s="120" t="s">
        <v>172</v>
      </c>
      <c r="D372" s="120" t="s">
        <v>175</v>
      </c>
      <c r="E372" s="120" t="s">
        <v>3</v>
      </c>
      <c r="F372" s="121">
        <v>47124</v>
      </c>
      <c r="H372" s="81"/>
      <c r="I372" s="81"/>
      <c r="J372" s="81"/>
      <c r="K372" s="81"/>
      <c r="L372" s="81"/>
      <c r="M372" s="81"/>
    </row>
    <row r="373" spans="1:13" x14ac:dyDescent="0.25">
      <c r="A373" s="120" t="s">
        <v>951</v>
      </c>
      <c r="B373" s="120" t="s">
        <v>951</v>
      </c>
      <c r="C373" s="120" t="s">
        <v>172</v>
      </c>
      <c r="D373" s="120" t="s">
        <v>175</v>
      </c>
      <c r="E373" s="120" t="s">
        <v>0</v>
      </c>
      <c r="F373" s="121">
        <v>47124</v>
      </c>
      <c r="H373" s="81"/>
      <c r="I373" s="81"/>
      <c r="J373" s="81"/>
      <c r="K373" s="81"/>
      <c r="L373" s="81"/>
      <c r="M373" s="81"/>
    </row>
    <row r="374" spans="1:13" x14ac:dyDescent="0.25">
      <c r="A374" s="120" t="s">
        <v>951</v>
      </c>
      <c r="B374" s="120" t="s">
        <v>951</v>
      </c>
      <c r="C374" s="120" t="s">
        <v>172</v>
      </c>
      <c r="D374" s="120" t="s">
        <v>175</v>
      </c>
      <c r="E374" s="120" t="s">
        <v>2</v>
      </c>
      <c r="F374" s="121">
        <v>47124</v>
      </c>
      <c r="H374" s="81"/>
      <c r="I374" s="81"/>
      <c r="J374" s="81"/>
      <c r="K374" s="81"/>
      <c r="L374" s="81"/>
      <c r="M374" s="81"/>
    </row>
    <row r="375" spans="1:13" x14ac:dyDescent="0.25">
      <c r="A375" s="120" t="s">
        <v>951</v>
      </c>
      <c r="B375" s="120" t="s">
        <v>951</v>
      </c>
      <c r="C375" s="120" t="s">
        <v>172</v>
      </c>
      <c r="D375" s="120" t="s">
        <v>175</v>
      </c>
      <c r="E375" s="120" t="s">
        <v>298</v>
      </c>
      <c r="F375" s="121">
        <v>47124</v>
      </c>
      <c r="H375" s="81"/>
      <c r="I375" s="81"/>
      <c r="J375" s="81"/>
      <c r="K375" s="81"/>
      <c r="L375" s="81"/>
      <c r="M375" s="81"/>
    </row>
    <row r="376" spans="1:13" x14ac:dyDescent="0.25">
      <c r="A376" s="120" t="s">
        <v>951</v>
      </c>
      <c r="B376" s="120" t="s">
        <v>951</v>
      </c>
      <c r="C376" s="120" t="s">
        <v>172</v>
      </c>
      <c r="D376" s="120" t="s">
        <v>175</v>
      </c>
      <c r="E376" s="120" t="s">
        <v>294</v>
      </c>
      <c r="F376" s="121">
        <v>47124</v>
      </c>
      <c r="H376" s="81"/>
      <c r="I376" s="81"/>
      <c r="J376" s="81"/>
      <c r="K376" s="81"/>
      <c r="L376" s="81"/>
      <c r="M376" s="81"/>
    </row>
    <row r="377" spans="1:13" x14ac:dyDescent="0.25">
      <c r="A377" s="120" t="s">
        <v>951</v>
      </c>
      <c r="B377" s="120" t="s">
        <v>951</v>
      </c>
      <c r="C377" s="120" t="s">
        <v>172</v>
      </c>
      <c r="D377" s="120" t="s">
        <v>175</v>
      </c>
      <c r="E377" s="120" t="s">
        <v>1</v>
      </c>
      <c r="F377" s="121">
        <v>47124</v>
      </c>
      <c r="H377" s="81"/>
      <c r="I377" s="81"/>
      <c r="J377" s="81"/>
      <c r="K377" s="81"/>
      <c r="L377" s="81"/>
      <c r="M377" s="81"/>
    </row>
    <row r="378" spans="1:13" x14ac:dyDescent="0.25">
      <c r="A378" s="120" t="s">
        <v>951</v>
      </c>
      <c r="B378" s="120" t="s">
        <v>951</v>
      </c>
      <c r="C378" s="120" t="s">
        <v>172</v>
      </c>
      <c r="D378" s="120" t="s">
        <v>178</v>
      </c>
      <c r="E378" s="120" t="s">
        <v>3</v>
      </c>
      <c r="F378" s="121">
        <v>2334</v>
      </c>
      <c r="H378" s="81"/>
      <c r="I378" s="81"/>
      <c r="J378" s="81"/>
      <c r="K378" s="81"/>
      <c r="L378" s="81"/>
      <c r="M378" s="81"/>
    </row>
    <row r="379" spans="1:13" x14ac:dyDescent="0.25">
      <c r="A379" s="120" t="s">
        <v>951</v>
      </c>
      <c r="B379" s="120" t="s">
        <v>951</v>
      </c>
      <c r="C379" s="120" t="s">
        <v>172</v>
      </c>
      <c r="D379" s="120" t="s">
        <v>178</v>
      </c>
      <c r="E379" s="120" t="s">
        <v>0</v>
      </c>
      <c r="F379" s="121">
        <v>2334</v>
      </c>
      <c r="H379" s="81"/>
      <c r="I379" s="81"/>
      <c r="J379" s="81"/>
      <c r="K379" s="81"/>
      <c r="L379" s="81"/>
      <c r="M379" s="81"/>
    </row>
    <row r="380" spans="1:13" x14ac:dyDescent="0.25">
      <c r="A380" s="120" t="s">
        <v>951</v>
      </c>
      <c r="B380" s="120" t="s">
        <v>951</v>
      </c>
      <c r="C380" s="120" t="s">
        <v>172</v>
      </c>
      <c r="D380" s="120" t="s">
        <v>178</v>
      </c>
      <c r="E380" s="120" t="s">
        <v>2</v>
      </c>
      <c r="F380" s="121">
        <v>2334</v>
      </c>
      <c r="H380" s="81"/>
      <c r="I380" s="81"/>
      <c r="J380" s="81"/>
      <c r="K380" s="81"/>
      <c r="L380" s="81"/>
      <c r="M380" s="81"/>
    </row>
    <row r="381" spans="1:13" x14ac:dyDescent="0.25">
      <c r="A381" s="120" t="s">
        <v>951</v>
      </c>
      <c r="B381" s="120" t="s">
        <v>951</v>
      </c>
      <c r="C381" s="120" t="s">
        <v>172</v>
      </c>
      <c r="D381" s="120" t="s">
        <v>178</v>
      </c>
      <c r="E381" s="120" t="s">
        <v>298</v>
      </c>
      <c r="F381" s="121">
        <v>2334</v>
      </c>
      <c r="H381" s="81"/>
      <c r="I381" s="81"/>
      <c r="J381" s="81"/>
      <c r="K381" s="81"/>
      <c r="L381" s="81"/>
      <c r="M381" s="81"/>
    </row>
    <row r="382" spans="1:13" x14ac:dyDescent="0.25">
      <c r="A382" s="120" t="s">
        <v>951</v>
      </c>
      <c r="B382" s="120" t="s">
        <v>951</v>
      </c>
      <c r="C382" s="120" t="s">
        <v>172</v>
      </c>
      <c r="D382" s="120" t="s">
        <v>178</v>
      </c>
      <c r="E382" s="120" t="s">
        <v>294</v>
      </c>
      <c r="F382" s="121">
        <v>2334</v>
      </c>
      <c r="H382" s="81"/>
      <c r="I382" s="81"/>
      <c r="J382" s="81"/>
      <c r="K382" s="81"/>
      <c r="L382" s="81"/>
      <c r="M382" s="81"/>
    </row>
    <row r="383" spans="1:13" x14ac:dyDescent="0.25">
      <c r="A383" s="120" t="s">
        <v>951</v>
      </c>
      <c r="B383" s="120" t="s">
        <v>951</v>
      </c>
      <c r="C383" s="120" t="s">
        <v>172</v>
      </c>
      <c r="D383" s="120" t="s">
        <v>178</v>
      </c>
      <c r="E383" s="120" t="s">
        <v>1</v>
      </c>
      <c r="F383" s="121">
        <v>2334</v>
      </c>
      <c r="H383" s="81"/>
      <c r="I383" s="81"/>
      <c r="J383" s="81"/>
      <c r="K383" s="81"/>
      <c r="L383" s="81"/>
      <c r="M383" s="81"/>
    </row>
    <row r="384" spans="1:13" x14ac:dyDescent="0.25">
      <c r="A384" s="120" t="s">
        <v>951</v>
      </c>
      <c r="B384" s="120" t="s">
        <v>951</v>
      </c>
      <c r="C384" s="120" t="s">
        <v>172</v>
      </c>
      <c r="D384" s="120" t="s">
        <v>182</v>
      </c>
      <c r="E384" s="120" t="s">
        <v>3</v>
      </c>
      <c r="F384" s="121">
        <v>112945</v>
      </c>
      <c r="H384" s="81"/>
      <c r="I384" s="81"/>
      <c r="J384" s="81"/>
      <c r="K384" s="81"/>
      <c r="L384" s="81"/>
      <c r="M384" s="81"/>
    </row>
    <row r="385" spans="1:13" x14ac:dyDescent="0.25">
      <c r="A385" s="120" t="s">
        <v>951</v>
      </c>
      <c r="B385" s="120" t="s">
        <v>951</v>
      </c>
      <c r="C385" s="120" t="s">
        <v>172</v>
      </c>
      <c r="D385" s="120" t="s">
        <v>182</v>
      </c>
      <c r="E385" s="120" t="s">
        <v>0</v>
      </c>
      <c r="F385" s="121">
        <v>112945</v>
      </c>
      <c r="H385" s="81"/>
      <c r="I385" s="81"/>
      <c r="J385" s="81"/>
      <c r="K385" s="81"/>
      <c r="L385" s="81"/>
      <c r="M385" s="81"/>
    </row>
    <row r="386" spans="1:13" x14ac:dyDescent="0.25">
      <c r="A386" s="120" t="s">
        <v>951</v>
      </c>
      <c r="B386" s="120" t="s">
        <v>951</v>
      </c>
      <c r="C386" s="120" t="s">
        <v>172</v>
      </c>
      <c r="D386" s="120" t="s">
        <v>182</v>
      </c>
      <c r="E386" s="120" t="s">
        <v>2</v>
      </c>
      <c r="F386" s="121">
        <v>112945</v>
      </c>
      <c r="H386" s="81"/>
      <c r="I386" s="81"/>
      <c r="J386" s="81"/>
      <c r="K386" s="81"/>
      <c r="L386" s="81"/>
      <c r="M386" s="81"/>
    </row>
    <row r="387" spans="1:13" x14ac:dyDescent="0.25">
      <c r="A387" s="120" t="s">
        <v>951</v>
      </c>
      <c r="B387" s="120" t="s">
        <v>951</v>
      </c>
      <c r="C387" s="120" t="s">
        <v>172</v>
      </c>
      <c r="D387" s="120" t="s">
        <v>182</v>
      </c>
      <c r="E387" s="120" t="s">
        <v>298</v>
      </c>
      <c r="F387" s="121">
        <v>112945</v>
      </c>
      <c r="H387" s="81"/>
      <c r="I387" s="81"/>
      <c r="J387" s="81"/>
      <c r="K387" s="81"/>
      <c r="L387" s="81"/>
      <c r="M387" s="81"/>
    </row>
    <row r="388" spans="1:13" x14ac:dyDescent="0.25">
      <c r="A388" s="120" t="s">
        <v>951</v>
      </c>
      <c r="B388" s="120" t="s">
        <v>951</v>
      </c>
      <c r="C388" s="120" t="s">
        <v>172</v>
      </c>
      <c r="D388" s="120" t="s">
        <v>182</v>
      </c>
      <c r="E388" s="120" t="s">
        <v>294</v>
      </c>
      <c r="F388" s="121">
        <v>112945</v>
      </c>
      <c r="H388" s="81"/>
      <c r="I388" s="81"/>
      <c r="J388" s="81"/>
      <c r="K388" s="81"/>
      <c r="L388" s="81"/>
      <c r="M388" s="81"/>
    </row>
    <row r="389" spans="1:13" x14ac:dyDescent="0.25">
      <c r="A389" s="120" t="s">
        <v>951</v>
      </c>
      <c r="B389" s="120" t="s">
        <v>951</v>
      </c>
      <c r="C389" s="120" t="s">
        <v>172</v>
      </c>
      <c r="D389" s="120" t="s">
        <v>182</v>
      </c>
      <c r="E389" s="120" t="s">
        <v>1</v>
      </c>
      <c r="F389" s="121">
        <v>112945</v>
      </c>
      <c r="H389" s="81"/>
      <c r="I389" s="81"/>
      <c r="J389" s="81"/>
      <c r="K389" s="81"/>
      <c r="L389" s="81"/>
      <c r="M389" s="81"/>
    </row>
    <row r="390" spans="1:13" x14ac:dyDescent="0.25">
      <c r="A390" s="120" t="s">
        <v>951</v>
      </c>
      <c r="B390" s="120" t="s">
        <v>951</v>
      </c>
      <c r="C390" s="120" t="s">
        <v>186</v>
      </c>
      <c r="D390" s="120" t="s">
        <v>187</v>
      </c>
      <c r="E390" s="120" t="s">
        <v>294</v>
      </c>
      <c r="F390" s="121">
        <v>11992</v>
      </c>
      <c r="H390" s="81"/>
      <c r="I390" s="81"/>
      <c r="J390" s="81"/>
      <c r="K390" s="81"/>
      <c r="L390" s="81"/>
      <c r="M390" s="81"/>
    </row>
    <row r="391" spans="1:13" x14ac:dyDescent="0.25">
      <c r="A391" s="120" t="s">
        <v>951</v>
      </c>
      <c r="B391" s="120" t="s">
        <v>951</v>
      </c>
      <c r="C391" s="120" t="s">
        <v>186</v>
      </c>
      <c r="D391" s="120" t="s">
        <v>188</v>
      </c>
      <c r="E391" s="120" t="s">
        <v>294</v>
      </c>
      <c r="F391" s="121">
        <v>5491</v>
      </c>
      <c r="H391" s="81"/>
      <c r="I391" s="81"/>
      <c r="J391" s="81"/>
      <c r="K391" s="81"/>
      <c r="L391" s="81"/>
      <c r="M391" s="81"/>
    </row>
    <row r="392" spans="1:13" x14ac:dyDescent="0.25">
      <c r="A392" s="120" t="s">
        <v>951</v>
      </c>
      <c r="B392" s="120" t="s">
        <v>951</v>
      </c>
      <c r="C392" s="120" t="s">
        <v>186</v>
      </c>
      <c r="D392" s="120" t="s">
        <v>189</v>
      </c>
      <c r="E392" s="120" t="s">
        <v>294</v>
      </c>
      <c r="F392" s="121">
        <v>0</v>
      </c>
      <c r="H392" s="81"/>
      <c r="I392" s="81"/>
      <c r="J392" s="81"/>
      <c r="K392" s="81"/>
      <c r="L392" s="81"/>
      <c r="M392" s="81"/>
    </row>
    <row r="393" spans="1:13" x14ac:dyDescent="0.25">
      <c r="A393" s="120" t="s">
        <v>951</v>
      </c>
      <c r="B393" s="120" t="s">
        <v>951</v>
      </c>
      <c r="C393" s="120" t="s">
        <v>186</v>
      </c>
      <c r="D393" s="120" t="s">
        <v>190</v>
      </c>
      <c r="E393" s="120" t="s">
        <v>294</v>
      </c>
      <c r="F393" s="121">
        <v>354</v>
      </c>
      <c r="H393" s="81"/>
      <c r="I393" s="81"/>
      <c r="J393" s="81"/>
      <c r="K393" s="81"/>
      <c r="L393" s="81"/>
      <c r="M393" s="81"/>
    </row>
    <row r="394" spans="1:13" x14ac:dyDescent="0.25">
      <c r="A394" s="120" t="s">
        <v>951</v>
      </c>
      <c r="B394" s="120" t="s">
        <v>951</v>
      </c>
      <c r="C394" s="120" t="s">
        <v>186</v>
      </c>
      <c r="D394" s="120" t="s">
        <v>192</v>
      </c>
      <c r="E394" s="120" t="s">
        <v>294</v>
      </c>
      <c r="F394" s="121">
        <v>430</v>
      </c>
      <c r="H394" s="81"/>
      <c r="I394" s="81"/>
      <c r="J394" s="81"/>
      <c r="K394" s="81"/>
      <c r="L394" s="81"/>
      <c r="M394" s="81"/>
    </row>
    <row r="395" spans="1:13" x14ac:dyDescent="0.25">
      <c r="A395" s="120" t="s">
        <v>951</v>
      </c>
      <c r="B395" s="120" t="s">
        <v>951</v>
      </c>
      <c r="C395" s="120" t="s">
        <v>186</v>
      </c>
      <c r="D395" s="120" t="s">
        <v>195</v>
      </c>
      <c r="E395" s="120" t="s">
        <v>294</v>
      </c>
      <c r="F395" s="121">
        <v>30427</v>
      </c>
      <c r="H395" s="81"/>
      <c r="I395" s="81"/>
      <c r="J395" s="81"/>
      <c r="K395" s="81"/>
      <c r="L395" s="81"/>
      <c r="M395" s="81"/>
    </row>
    <row r="396" spans="1:13" x14ac:dyDescent="0.25">
      <c r="A396" s="120" t="s">
        <v>951</v>
      </c>
      <c r="B396" s="120" t="s">
        <v>951</v>
      </c>
      <c r="C396" s="120" t="s">
        <v>186</v>
      </c>
      <c r="D396" s="120" t="s">
        <v>196</v>
      </c>
      <c r="E396" s="120" t="s">
        <v>3</v>
      </c>
      <c r="F396" s="121">
        <v>173735</v>
      </c>
      <c r="H396" s="81"/>
      <c r="I396" s="81"/>
      <c r="J396" s="81"/>
      <c r="K396" s="81"/>
      <c r="L396" s="81"/>
      <c r="M396" s="81"/>
    </row>
    <row r="397" spans="1:13" x14ac:dyDescent="0.25">
      <c r="A397" s="120" t="s">
        <v>951</v>
      </c>
      <c r="B397" s="120" t="s">
        <v>951</v>
      </c>
      <c r="C397" s="120" t="s">
        <v>186</v>
      </c>
      <c r="D397" s="120" t="s">
        <v>196</v>
      </c>
      <c r="E397" s="120" t="s">
        <v>0</v>
      </c>
      <c r="F397" s="121">
        <v>173735</v>
      </c>
      <c r="H397" s="81"/>
      <c r="I397" s="81"/>
      <c r="J397" s="81"/>
      <c r="K397" s="81"/>
      <c r="L397" s="81"/>
      <c r="M397" s="81"/>
    </row>
    <row r="398" spans="1:13" x14ac:dyDescent="0.25">
      <c r="A398" s="120" t="s">
        <v>951</v>
      </c>
      <c r="B398" s="120" t="s">
        <v>951</v>
      </c>
      <c r="C398" s="120" t="s">
        <v>186</v>
      </c>
      <c r="D398" s="120" t="s">
        <v>196</v>
      </c>
      <c r="E398" s="120" t="s">
        <v>2</v>
      </c>
      <c r="F398" s="121">
        <v>173735</v>
      </c>
      <c r="H398" s="81"/>
      <c r="I398" s="81"/>
      <c r="J398" s="81"/>
      <c r="K398" s="81"/>
      <c r="L398" s="81"/>
      <c r="M398" s="81"/>
    </row>
    <row r="399" spans="1:13" x14ac:dyDescent="0.25">
      <c r="A399" s="120" t="s">
        <v>951</v>
      </c>
      <c r="B399" s="120" t="s">
        <v>951</v>
      </c>
      <c r="C399" s="120" t="s">
        <v>186</v>
      </c>
      <c r="D399" s="120" t="s">
        <v>196</v>
      </c>
      <c r="E399" s="120" t="s">
        <v>298</v>
      </c>
      <c r="F399" s="121">
        <v>173735</v>
      </c>
      <c r="H399" s="81"/>
      <c r="I399" s="81"/>
      <c r="J399" s="81"/>
      <c r="K399" s="81"/>
      <c r="L399" s="81"/>
      <c r="M399" s="81"/>
    </row>
    <row r="400" spans="1:13" x14ac:dyDescent="0.25">
      <c r="A400" s="120" t="s">
        <v>951</v>
      </c>
      <c r="B400" s="120" t="s">
        <v>951</v>
      </c>
      <c r="C400" s="120" t="s">
        <v>186</v>
      </c>
      <c r="D400" s="120" t="s">
        <v>196</v>
      </c>
      <c r="E400" s="120" t="s">
        <v>294</v>
      </c>
      <c r="F400" s="121">
        <v>974</v>
      </c>
      <c r="H400" s="81"/>
      <c r="I400" s="81"/>
      <c r="J400" s="81"/>
      <c r="K400" s="81"/>
      <c r="L400" s="81"/>
      <c r="M400" s="81"/>
    </row>
    <row r="401" spans="1:13" x14ac:dyDescent="0.25">
      <c r="A401" s="120" t="s">
        <v>951</v>
      </c>
      <c r="B401" s="120" t="s">
        <v>951</v>
      </c>
      <c r="C401" s="120" t="s">
        <v>186</v>
      </c>
      <c r="D401" s="120" t="s">
        <v>196</v>
      </c>
      <c r="E401" s="120" t="s">
        <v>1</v>
      </c>
      <c r="F401" s="121">
        <v>173735</v>
      </c>
      <c r="H401" s="81"/>
      <c r="I401" s="81"/>
      <c r="J401" s="81"/>
      <c r="K401" s="81"/>
      <c r="L401" s="81"/>
      <c r="M401" s="81"/>
    </row>
    <row r="402" spans="1:13" x14ac:dyDescent="0.25">
      <c r="A402" s="120" t="s">
        <v>951</v>
      </c>
      <c r="B402" s="120" t="s">
        <v>951</v>
      </c>
      <c r="C402" s="120" t="s">
        <v>198</v>
      </c>
      <c r="D402" s="120" t="s">
        <v>197</v>
      </c>
      <c r="E402" s="120" t="s">
        <v>3</v>
      </c>
      <c r="F402" s="121">
        <v>956</v>
      </c>
      <c r="H402" s="81"/>
      <c r="I402" s="81"/>
      <c r="J402" s="81"/>
      <c r="K402" s="81"/>
      <c r="L402" s="81"/>
      <c r="M402" s="81"/>
    </row>
    <row r="403" spans="1:13" x14ac:dyDescent="0.25">
      <c r="A403" s="120" t="s">
        <v>951</v>
      </c>
      <c r="B403" s="120" t="s">
        <v>951</v>
      </c>
      <c r="C403" s="120" t="s">
        <v>198</v>
      </c>
      <c r="D403" s="120" t="s">
        <v>197</v>
      </c>
      <c r="E403" s="120" t="s">
        <v>0</v>
      </c>
      <c r="F403" s="121">
        <v>956</v>
      </c>
      <c r="H403" s="81"/>
      <c r="I403" s="81"/>
      <c r="J403" s="81"/>
      <c r="K403" s="81"/>
      <c r="L403" s="81"/>
      <c r="M403" s="81"/>
    </row>
    <row r="404" spans="1:13" x14ac:dyDescent="0.25">
      <c r="A404" s="120" t="s">
        <v>951</v>
      </c>
      <c r="B404" s="120" t="s">
        <v>951</v>
      </c>
      <c r="C404" s="120" t="s">
        <v>198</v>
      </c>
      <c r="D404" s="120" t="s">
        <v>197</v>
      </c>
      <c r="E404" s="120" t="s">
        <v>2</v>
      </c>
      <c r="F404" s="121">
        <v>956</v>
      </c>
      <c r="H404" s="81"/>
      <c r="I404" s="81"/>
      <c r="J404" s="81"/>
      <c r="K404" s="81"/>
      <c r="L404" s="81"/>
      <c r="M404" s="81"/>
    </row>
    <row r="405" spans="1:13" x14ac:dyDescent="0.25">
      <c r="A405" s="120" t="s">
        <v>951</v>
      </c>
      <c r="B405" s="120" t="s">
        <v>951</v>
      </c>
      <c r="C405" s="120" t="s">
        <v>198</v>
      </c>
      <c r="D405" s="120" t="s">
        <v>197</v>
      </c>
      <c r="E405" s="120" t="s">
        <v>298</v>
      </c>
      <c r="F405" s="121">
        <v>956</v>
      </c>
      <c r="H405" s="81"/>
      <c r="I405" s="81"/>
      <c r="J405" s="81"/>
      <c r="K405" s="81"/>
      <c r="L405" s="81"/>
      <c r="M405" s="81"/>
    </row>
    <row r="406" spans="1:13" x14ac:dyDescent="0.25">
      <c r="A406" s="120" t="s">
        <v>951</v>
      </c>
      <c r="B406" s="120" t="s">
        <v>951</v>
      </c>
      <c r="C406" s="120" t="s">
        <v>198</v>
      </c>
      <c r="D406" s="120" t="s">
        <v>197</v>
      </c>
      <c r="E406" s="120" t="s">
        <v>294</v>
      </c>
      <c r="F406" s="121">
        <v>884</v>
      </c>
      <c r="H406" s="81"/>
      <c r="I406" s="81"/>
      <c r="J406" s="81"/>
      <c r="K406" s="81"/>
      <c r="L406" s="81"/>
      <c r="M406" s="81"/>
    </row>
    <row r="407" spans="1:13" x14ac:dyDescent="0.25">
      <c r="A407" s="120" t="s">
        <v>951</v>
      </c>
      <c r="B407" s="120" t="s">
        <v>951</v>
      </c>
      <c r="C407" s="120" t="s">
        <v>198</v>
      </c>
      <c r="D407" s="120" t="s">
        <v>197</v>
      </c>
      <c r="E407" s="120" t="s">
        <v>1</v>
      </c>
      <c r="F407" s="121">
        <v>956</v>
      </c>
      <c r="H407" s="81"/>
      <c r="I407" s="81"/>
      <c r="J407" s="81"/>
      <c r="K407" s="81"/>
      <c r="L407" s="81"/>
      <c r="M407" s="81"/>
    </row>
    <row r="408" spans="1:13" x14ac:dyDescent="0.25">
      <c r="A408" s="120" t="s">
        <v>951</v>
      </c>
      <c r="B408" s="120" t="s">
        <v>951</v>
      </c>
      <c r="C408" s="120" t="s">
        <v>198</v>
      </c>
      <c r="D408" s="120" t="s">
        <v>200</v>
      </c>
      <c r="E408" s="120" t="s">
        <v>3</v>
      </c>
      <c r="F408" s="121">
        <v>8547</v>
      </c>
      <c r="H408" s="81"/>
      <c r="I408" s="81"/>
      <c r="J408" s="81"/>
      <c r="K408" s="81"/>
      <c r="L408" s="81"/>
      <c r="M408" s="81"/>
    </row>
    <row r="409" spans="1:13" x14ac:dyDescent="0.25">
      <c r="A409" s="120" t="s">
        <v>951</v>
      </c>
      <c r="B409" s="120" t="s">
        <v>951</v>
      </c>
      <c r="C409" s="120" t="s">
        <v>198</v>
      </c>
      <c r="D409" s="120" t="s">
        <v>200</v>
      </c>
      <c r="E409" s="120" t="s">
        <v>0</v>
      </c>
      <c r="F409" s="121">
        <v>8547</v>
      </c>
      <c r="H409" s="81"/>
      <c r="I409" s="81"/>
      <c r="J409" s="81"/>
      <c r="K409" s="81"/>
      <c r="L409" s="81"/>
      <c r="M409" s="81"/>
    </row>
    <row r="410" spans="1:13" x14ac:dyDescent="0.25">
      <c r="A410" s="120" t="s">
        <v>951</v>
      </c>
      <c r="B410" s="120" t="s">
        <v>951</v>
      </c>
      <c r="C410" s="120" t="s">
        <v>198</v>
      </c>
      <c r="D410" s="120" t="s">
        <v>200</v>
      </c>
      <c r="E410" s="120" t="s">
        <v>2</v>
      </c>
      <c r="F410" s="121">
        <v>8547</v>
      </c>
      <c r="H410" s="81"/>
      <c r="I410" s="81"/>
      <c r="J410" s="81"/>
      <c r="K410" s="81"/>
      <c r="L410" s="81"/>
      <c r="M410" s="81"/>
    </row>
    <row r="411" spans="1:13" x14ac:dyDescent="0.25">
      <c r="A411" s="120" t="s">
        <v>951</v>
      </c>
      <c r="B411" s="120" t="s">
        <v>951</v>
      </c>
      <c r="C411" s="120" t="s">
        <v>198</v>
      </c>
      <c r="D411" s="120" t="s">
        <v>200</v>
      </c>
      <c r="E411" s="120" t="s">
        <v>298</v>
      </c>
      <c r="F411" s="121">
        <v>8547</v>
      </c>
      <c r="H411" s="81"/>
      <c r="I411" s="81"/>
      <c r="J411" s="81"/>
      <c r="K411" s="81"/>
      <c r="L411" s="81"/>
      <c r="M411" s="81"/>
    </row>
    <row r="412" spans="1:13" x14ac:dyDescent="0.25">
      <c r="A412" s="120" t="s">
        <v>951</v>
      </c>
      <c r="B412" s="120" t="s">
        <v>951</v>
      </c>
      <c r="C412" s="120" t="s">
        <v>198</v>
      </c>
      <c r="D412" s="120" t="s">
        <v>200</v>
      </c>
      <c r="E412" s="120" t="s">
        <v>294</v>
      </c>
      <c r="F412" s="121">
        <v>8547</v>
      </c>
      <c r="H412" s="81"/>
      <c r="I412" s="81"/>
      <c r="J412" s="81"/>
      <c r="K412" s="81"/>
      <c r="L412" s="81"/>
      <c r="M412" s="81"/>
    </row>
    <row r="413" spans="1:13" x14ac:dyDescent="0.25">
      <c r="A413" s="120" t="s">
        <v>951</v>
      </c>
      <c r="B413" s="120" t="s">
        <v>951</v>
      </c>
      <c r="C413" s="120" t="s">
        <v>198</v>
      </c>
      <c r="D413" s="120" t="s">
        <v>200</v>
      </c>
      <c r="E413" s="120" t="s">
        <v>1</v>
      </c>
      <c r="F413" s="121">
        <v>8547</v>
      </c>
      <c r="H413" s="81"/>
      <c r="I413" s="81"/>
      <c r="J413" s="81"/>
      <c r="K413" s="81"/>
      <c r="L413" s="81"/>
      <c r="M413" s="81"/>
    </row>
    <row r="414" spans="1:13" x14ac:dyDescent="0.25">
      <c r="A414" s="120" t="s">
        <v>951</v>
      </c>
      <c r="B414" s="120" t="s">
        <v>951</v>
      </c>
      <c r="C414" s="120" t="s">
        <v>198</v>
      </c>
      <c r="D414" s="120" t="s">
        <v>203</v>
      </c>
      <c r="E414" s="120" t="s">
        <v>3</v>
      </c>
      <c r="F414" s="121">
        <v>18295</v>
      </c>
      <c r="H414" s="81"/>
      <c r="I414" s="81"/>
      <c r="J414" s="81"/>
      <c r="K414" s="81"/>
      <c r="L414" s="81"/>
      <c r="M414" s="81"/>
    </row>
    <row r="415" spans="1:13" x14ac:dyDescent="0.25">
      <c r="A415" s="120" t="s">
        <v>951</v>
      </c>
      <c r="B415" s="120" t="s">
        <v>951</v>
      </c>
      <c r="C415" s="120" t="s">
        <v>198</v>
      </c>
      <c r="D415" s="120" t="s">
        <v>203</v>
      </c>
      <c r="E415" s="120" t="s">
        <v>0</v>
      </c>
      <c r="F415" s="121">
        <v>18295</v>
      </c>
      <c r="H415" s="81"/>
      <c r="I415" s="81"/>
      <c r="J415" s="81"/>
      <c r="K415" s="81"/>
      <c r="L415" s="81"/>
      <c r="M415" s="81"/>
    </row>
    <row r="416" spans="1:13" x14ac:dyDescent="0.25">
      <c r="A416" s="120" t="s">
        <v>951</v>
      </c>
      <c r="B416" s="120" t="s">
        <v>951</v>
      </c>
      <c r="C416" s="120" t="s">
        <v>198</v>
      </c>
      <c r="D416" s="120" t="s">
        <v>203</v>
      </c>
      <c r="E416" s="120" t="s">
        <v>2</v>
      </c>
      <c r="F416" s="121">
        <v>18295</v>
      </c>
      <c r="H416" s="81"/>
      <c r="I416" s="81"/>
      <c r="J416" s="81"/>
      <c r="K416" s="81"/>
      <c r="L416" s="81"/>
      <c r="M416" s="81"/>
    </row>
    <row r="417" spans="1:13" x14ac:dyDescent="0.25">
      <c r="A417" s="120" t="s">
        <v>951</v>
      </c>
      <c r="B417" s="120" t="s">
        <v>951</v>
      </c>
      <c r="C417" s="120" t="s">
        <v>198</v>
      </c>
      <c r="D417" s="120" t="s">
        <v>203</v>
      </c>
      <c r="E417" s="120" t="s">
        <v>298</v>
      </c>
      <c r="F417" s="121">
        <v>18295</v>
      </c>
      <c r="H417" s="81"/>
      <c r="I417" s="81"/>
      <c r="J417" s="81"/>
      <c r="K417" s="81"/>
      <c r="L417" s="81"/>
      <c r="M417" s="81"/>
    </row>
    <row r="418" spans="1:13" x14ac:dyDescent="0.25">
      <c r="A418" s="120" t="s">
        <v>951</v>
      </c>
      <c r="B418" s="120" t="s">
        <v>951</v>
      </c>
      <c r="C418" s="120" t="s">
        <v>198</v>
      </c>
      <c r="D418" s="120" t="s">
        <v>203</v>
      </c>
      <c r="E418" s="120" t="s">
        <v>294</v>
      </c>
      <c r="F418" s="121">
        <v>15815</v>
      </c>
      <c r="H418" s="81"/>
      <c r="I418" s="81"/>
      <c r="J418" s="81"/>
      <c r="K418" s="81"/>
      <c r="L418" s="81"/>
      <c r="M418" s="81"/>
    </row>
    <row r="419" spans="1:13" x14ac:dyDescent="0.25">
      <c r="A419" s="120" t="s">
        <v>951</v>
      </c>
      <c r="B419" s="120" t="s">
        <v>951</v>
      </c>
      <c r="C419" s="120" t="s">
        <v>198</v>
      </c>
      <c r="D419" s="120" t="s">
        <v>203</v>
      </c>
      <c r="E419" s="120" t="s">
        <v>1</v>
      </c>
      <c r="F419" s="121">
        <v>18295</v>
      </c>
      <c r="H419" s="81"/>
      <c r="I419" s="81"/>
      <c r="J419" s="81"/>
      <c r="K419" s="81"/>
      <c r="L419" s="81"/>
      <c r="M419" s="81"/>
    </row>
    <row r="420" spans="1:13" x14ac:dyDescent="0.25">
      <c r="A420" s="120" t="s">
        <v>951</v>
      </c>
      <c r="B420" s="120" t="s">
        <v>951</v>
      </c>
      <c r="C420" s="120" t="s">
        <v>198</v>
      </c>
      <c r="D420" s="120" t="s">
        <v>204</v>
      </c>
      <c r="E420" s="120" t="s">
        <v>3</v>
      </c>
      <c r="F420" s="121">
        <v>0</v>
      </c>
      <c r="H420" s="81"/>
      <c r="I420" s="81"/>
      <c r="J420" s="81"/>
      <c r="K420" s="81"/>
      <c r="L420" s="81"/>
      <c r="M420" s="81"/>
    </row>
    <row r="421" spans="1:13" x14ac:dyDescent="0.25">
      <c r="A421" s="120" t="s">
        <v>951</v>
      </c>
      <c r="B421" s="120" t="s">
        <v>951</v>
      </c>
      <c r="C421" s="120" t="s">
        <v>198</v>
      </c>
      <c r="D421" s="120" t="s">
        <v>204</v>
      </c>
      <c r="E421" s="120" t="s">
        <v>0</v>
      </c>
      <c r="F421" s="121">
        <v>0</v>
      </c>
      <c r="H421" s="81"/>
      <c r="I421" s="81"/>
      <c r="J421" s="81"/>
      <c r="K421" s="81"/>
      <c r="L421" s="81"/>
      <c r="M421" s="81"/>
    </row>
    <row r="422" spans="1:13" x14ac:dyDescent="0.25">
      <c r="A422" s="120" t="s">
        <v>951</v>
      </c>
      <c r="B422" s="120" t="s">
        <v>951</v>
      </c>
      <c r="C422" s="120" t="s">
        <v>198</v>
      </c>
      <c r="D422" s="120" t="s">
        <v>204</v>
      </c>
      <c r="E422" s="120" t="s">
        <v>2</v>
      </c>
      <c r="F422" s="121">
        <v>0</v>
      </c>
      <c r="H422" s="81"/>
      <c r="I422" s="81"/>
      <c r="J422" s="81"/>
      <c r="K422" s="81"/>
      <c r="L422" s="81"/>
      <c r="M422" s="81"/>
    </row>
    <row r="423" spans="1:13" x14ac:dyDescent="0.25">
      <c r="A423" s="120" t="s">
        <v>951</v>
      </c>
      <c r="B423" s="120" t="s">
        <v>951</v>
      </c>
      <c r="C423" s="120" t="s">
        <v>198</v>
      </c>
      <c r="D423" s="120" t="s">
        <v>204</v>
      </c>
      <c r="E423" s="120" t="s">
        <v>294</v>
      </c>
      <c r="F423" s="121">
        <v>0</v>
      </c>
      <c r="H423" s="81"/>
      <c r="I423" s="81"/>
      <c r="J423" s="81"/>
      <c r="K423" s="81"/>
      <c r="L423" s="81"/>
      <c r="M423" s="81"/>
    </row>
    <row r="424" spans="1:13" x14ac:dyDescent="0.25">
      <c r="A424" s="120" t="s">
        <v>951</v>
      </c>
      <c r="B424" s="120" t="s">
        <v>951</v>
      </c>
      <c r="C424" s="120" t="s">
        <v>198</v>
      </c>
      <c r="D424" s="120" t="s">
        <v>204</v>
      </c>
      <c r="E424" s="120" t="s">
        <v>1</v>
      </c>
      <c r="F424" s="121">
        <v>0</v>
      </c>
      <c r="H424" s="81"/>
      <c r="I424" s="81"/>
      <c r="J424" s="81"/>
      <c r="K424" s="81"/>
      <c r="L424" s="81"/>
      <c r="M424" s="81"/>
    </row>
    <row r="425" spans="1:13" x14ac:dyDescent="0.25">
      <c r="A425" s="120" t="s">
        <v>951</v>
      </c>
      <c r="B425" s="120" t="s">
        <v>951</v>
      </c>
      <c r="C425" s="120" t="s">
        <v>198</v>
      </c>
      <c r="D425" s="120" t="s">
        <v>199</v>
      </c>
      <c r="E425" s="120" t="s">
        <v>3</v>
      </c>
      <c r="F425" s="121">
        <v>6063</v>
      </c>
      <c r="H425" s="81"/>
      <c r="I425" s="81"/>
      <c r="J425" s="81"/>
      <c r="K425" s="81"/>
      <c r="L425" s="81"/>
      <c r="M425" s="81"/>
    </row>
    <row r="426" spans="1:13" x14ac:dyDescent="0.25">
      <c r="A426" s="120" t="s">
        <v>951</v>
      </c>
      <c r="B426" s="120" t="s">
        <v>951</v>
      </c>
      <c r="C426" s="120" t="s">
        <v>198</v>
      </c>
      <c r="D426" s="120" t="s">
        <v>199</v>
      </c>
      <c r="E426" s="120" t="s">
        <v>0</v>
      </c>
      <c r="F426" s="121">
        <v>6063</v>
      </c>
      <c r="H426" s="81"/>
      <c r="I426" s="81"/>
      <c r="J426" s="81"/>
      <c r="K426" s="81"/>
      <c r="L426" s="81"/>
      <c r="M426" s="81"/>
    </row>
    <row r="427" spans="1:13" x14ac:dyDescent="0.25">
      <c r="A427" s="120" t="s">
        <v>951</v>
      </c>
      <c r="B427" s="120" t="s">
        <v>951</v>
      </c>
      <c r="C427" s="120" t="s">
        <v>198</v>
      </c>
      <c r="D427" s="120" t="s">
        <v>199</v>
      </c>
      <c r="E427" s="120" t="s">
        <v>2</v>
      </c>
      <c r="F427" s="121">
        <v>6063</v>
      </c>
      <c r="H427" s="81"/>
      <c r="I427" s="81"/>
      <c r="J427" s="81"/>
      <c r="K427" s="81"/>
      <c r="L427" s="81"/>
      <c r="M427" s="81"/>
    </row>
    <row r="428" spans="1:13" x14ac:dyDescent="0.25">
      <c r="A428" s="120" t="s">
        <v>951</v>
      </c>
      <c r="B428" s="120" t="s">
        <v>951</v>
      </c>
      <c r="C428" s="120" t="s">
        <v>198</v>
      </c>
      <c r="D428" s="120" t="s">
        <v>199</v>
      </c>
      <c r="E428" s="120" t="s">
        <v>298</v>
      </c>
      <c r="F428" s="121">
        <v>6063</v>
      </c>
      <c r="H428" s="81"/>
      <c r="I428" s="81"/>
      <c r="J428" s="81"/>
      <c r="K428" s="81"/>
      <c r="L428" s="81"/>
      <c r="M428" s="81"/>
    </row>
    <row r="429" spans="1:13" x14ac:dyDescent="0.25">
      <c r="A429" s="120" t="s">
        <v>951</v>
      </c>
      <c r="B429" s="120" t="s">
        <v>951</v>
      </c>
      <c r="C429" s="120" t="s">
        <v>198</v>
      </c>
      <c r="D429" s="120" t="s">
        <v>199</v>
      </c>
      <c r="E429" s="120" t="s">
        <v>294</v>
      </c>
      <c r="F429" s="121">
        <v>3336</v>
      </c>
      <c r="H429" s="81"/>
      <c r="I429" s="81"/>
      <c r="J429" s="81"/>
      <c r="K429" s="81"/>
      <c r="L429" s="81"/>
      <c r="M429" s="81"/>
    </row>
    <row r="430" spans="1:13" x14ac:dyDescent="0.25">
      <c r="A430" s="120" t="s">
        <v>951</v>
      </c>
      <c r="B430" s="120" t="s">
        <v>951</v>
      </c>
      <c r="C430" s="120" t="s">
        <v>198</v>
      </c>
      <c r="D430" s="120" t="s">
        <v>199</v>
      </c>
      <c r="E430" s="120" t="s">
        <v>1</v>
      </c>
      <c r="F430" s="121">
        <v>6063</v>
      </c>
      <c r="H430" s="81"/>
      <c r="I430" s="81"/>
      <c r="J430" s="81"/>
      <c r="K430" s="81"/>
      <c r="L430" s="81"/>
      <c r="M430" s="81"/>
    </row>
    <row r="431" spans="1:13" x14ac:dyDescent="0.25">
      <c r="A431" s="120" t="s">
        <v>951</v>
      </c>
      <c r="B431" s="120" t="s">
        <v>951</v>
      </c>
      <c r="C431" s="120" t="s">
        <v>206</v>
      </c>
      <c r="D431" s="120" t="s">
        <v>208</v>
      </c>
      <c r="E431" s="120" t="s">
        <v>3</v>
      </c>
      <c r="F431" s="121">
        <v>394591</v>
      </c>
      <c r="H431" s="81"/>
      <c r="I431" s="81"/>
      <c r="J431" s="81"/>
      <c r="K431" s="81"/>
      <c r="L431" s="81"/>
      <c r="M431" s="81"/>
    </row>
    <row r="432" spans="1:13" x14ac:dyDescent="0.25">
      <c r="A432" s="120" t="s">
        <v>951</v>
      </c>
      <c r="B432" s="120" t="s">
        <v>951</v>
      </c>
      <c r="C432" s="120" t="s">
        <v>206</v>
      </c>
      <c r="D432" s="120" t="s">
        <v>208</v>
      </c>
      <c r="E432" s="120" t="s">
        <v>0</v>
      </c>
      <c r="F432" s="121">
        <v>394591</v>
      </c>
      <c r="H432" s="81"/>
      <c r="I432" s="81"/>
      <c r="J432" s="81"/>
      <c r="K432" s="81"/>
      <c r="L432" s="81"/>
      <c r="M432" s="81"/>
    </row>
    <row r="433" spans="1:13" x14ac:dyDescent="0.25">
      <c r="A433" s="120" t="s">
        <v>951</v>
      </c>
      <c r="B433" s="120" t="s">
        <v>951</v>
      </c>
      <c r="C433" s="120" t="s">
        <v>206</v>
      </c>
      <c r="D433" s="120" t="s">
        <v>208</v>
      </c>
      <c r="E433" s="120" t="s">
        <v>2</v>
      </c>
      <c r="F433" s="121">
        <v>394591</v>
      </c>
      <c r="H433" s="81"/>
      <c r="I433" s="81"/>
      <c r="J433" s="81"/>
      <c r="K433" s="81"/>
      <c r="L433" s="81"/>
      <c r="M433" s="81"/>
    </row>
    <row r="434" spans="1:13" x14ac:dyDescent="0.25">
      <c r="A434" s="120" t="s">
        <v>951</v>
      </c>
      <c r="B434" s="120" t="s">
        <v>951</v>
      </c>
      <c r="C434" s="120" t="s">
        <v>206</v>
      </c>
      <c r="D434" s="120" t="s">
        <v>208</v>
      </c>
      <c r="E434" s="120" t="s">
        <v>298</v>
      </c>
      <c r="F434" s="121">
        <v>394591</v>
      </c>
      <c r="H434" s="81"/>
      <c r="I434" s="81"/>
      <c r="J434" s="81"/>
      <c r="K434" s="81"/>
      <c r="L434" s="81"/>
      <c r="M434" s="81"/>
    </row>
    <row r="435" spans="1:13" x14ac:dyDescent="0.25">
      <c r="A435" s="120" t="s">
        <v>951</v>
      </c>
      <c r="B435" s="120" t="s">
        <v>951</v>
      </c>
      <c r="C435" s="120" t="s">
        <v>206</v>
      </c>
      <c r="D435" s="120" t="s">
        <v>208</v>
      </c>
      <c r="E435" s="120" t="s">
        <v>294</v>
      </c>
      <c r="F435" s="121">
        <v>394591</v>
      </c>
      <c r="H435" s="81"/>
      <c r="I435" s="81"/>
      <c r="J435" s="81"/>
      <c r="K435" s="81"/>
      <c r="L435" s="81"/>
      <c r="M435" s="81"/>
    </row>
    <row r="436" spans="1:13" x14ac:dyDescent="0.25">
      <c r="A436" s="120" t="s">
        <v>951</v>
      </c>
      <c r="B436" s="120" t="s">
        <v>951</v>
      </c>
      <c r="C436" s="120" t="s">
        <v>206</v>
      </c>
      <c r="D436" s="120" t="s">
        <v>208</v>
      </c>
      <c r="E436" s="120" t="s">
        <v>1</v>
      </c>
      <c r="F436" s="121">
        <v>394591</v>
      </c>
      <c r="H436" s="81"/>
      <c r="I436" s="81"/>
      <c r="J436" s="81"/>
      <c r="K436" s="81"/>
      <c r="L436" s="81"/>
      <c r="M436" s="81"/>
    </row>
    <row r="437" spans="1:13" x14ac:dyDescent="0.25">
      <c r="A437" s="120" t="s">
        <v>951</v>
      </c>
      <c r="B437" s="120" t="s">
        <v>951</v>
      </c>
      <c r="C437" s="120" t="s">
        <v>206</v>
      </c>
      <c r="D437" s="120" t="s">
        <v>211</v>
      </c>
      <c r="E437" s="120" t="s">
        <v>3</v>
      </c>
      <c r="F437" s="121">
        <v>7596</v>
      </c>
      <c r="H437" s="81"/>
      <c r="I437" s="81"/>
      <c r="J437" s="81"/>
      <c r="K437" s="81"/>
      <c r="L437" s="81"/>
      <c r="M437" s="81"/>
    </row>
    <row r="438" spans="1:13" x14ac:dyDescent="0.25">
      <c r="A438" s="120" t="s">
        <v>951</v>
      </c>
      <c r="B438" s="120" t="s">
        <v>951</v>
      </c>
      <c r="C438" s="120" t="s">
        <v>206</v>
      </c>
      <c r="D438" s="120" t="s">
        <v>211</v>
      </c>
      <c r="E438" s="120" t="s">
        <v>0</v>
      </c>
      <c r="F438" s="121">
        <v>7596</v>
      </c>
      <c r="H438" s="81"/>
      <c r="I438" s="81"/>
      <c r="J438" s="81"/>
      <c r="K438" s="81"/>
      <c r="L438" s="81"/>
      <c r="M438" s="81"/>
    </row>
    <row r="439" spans="1:13" x14ac:dyDescent="0.25">
      <c r="A439" s="120" t="s">
        <v>951</v>
      </c>
      <c r="B439" s="120" t="s">
        <v>951</v>
      </c>
      <c r="C439" s="120" t="s">
        <v>206</v>
      </c>
      <c r="D439" s="120" t="s">
        <v>211</v>
      </c>
      <c r="E439" s="120" t="s">
        <v>2</v>
      </c>
      <c r="F439" s="121">
        <v>7596</v>
      </c>
      <c r="H439" s="81"/>
      <c r="I439" s="81"/>
      <c r="J439" s="81"/>
      <c r="K439" s="81"/>
      <c r="L439" s="81"/>
      <c r="M439" s="81"/>
    </row>
    <row r="440" spans="1:13" x14ac:dyDescent="0.25">
      <c r="A440" s="120" t="s">
        <v>951</v>
      </c>
      <c r="B440" s="120" t="s">
        <v>951</v>
      </c>
      <c r="C440" s="120" t="s">
        <v>206</v>
      </c>
      <c r="D440" s="120" t="s">
        <v>211</v>
      </c>
      <c r="E440" s="120" t="s">
        <v>298</v>
      </c>
      <c r="F440" s="121">
        <v>7596</v>
      </c>
      <c r="H440" s="81"/>
      <c r="I440" s="81"/>
      <c r="J440" s="81"/>
      <c r="K440" s="81"/>
      <c r="L440" s="81"/>
      <c r="M440" s="81"/>
    </row>
    <row r="441" spans="1:13" x14ac:dyDescent="0.25">
      <c r="A441" s="120" t="s">
        <v>951</v>
      </c>
      <c r="B441" s="120" t="s">
        <v>951</v>
      </c>
      <c r="C441" s="120" t="s">
        <v>206</v>
      </c>
      <c r="D441" s="120" t="s">
        <v>211</v>
      </c>
      <c r="E441" s="120" t="s">
        <v>294</v>
      </c>
      <c r="F441" s="121">
        <v>7596</v>
      </c>
      <c r="H441" s="81"/>
      <c r="I441" s="81"/>
      <c r="J441" s="81"/>
      <c r="K441" s="81"/>
      <c r="L441" s="81"/>
      <c r="M441" s="81"/>
    </row>
    <row r="442" spans="1:13" x14ac:dyDescent="0.25">
      <c r="A442" s="120" t="s">
        <v>951</v>
      </c>
      <c r="B442" s="120" t="s">
        <v>951</v>
      </c>
      <c r="C442" s="120" t="s">
        <v>206</v>
      </c>
      <c r="D442" s="120" t="s">
        <v>211</v>
      </c>
      <c r="E442" s="120" t="s">
        <v>1</v>
      </c>
      <c r="F442" s="121">
        <v>7596</v>
      </c>
      <c r="H442" s="81"/>
      <c r="I442" s="81"/>
      <c r="J442" s="81"/>
      <c r="K442" s="81"/>
      <c r="L442" s="81"/>
      <c r="M442" s="81"/>
    </row>
    <row r="443" spans="1:13" x14ac:dyDescent="0.25">
      <c r="A443" s="120" t="s">
        <v>951</v>
      </c>
      <c r="B443" s="120" t="s">
        <v>951</v>
      </c>
      <c r="C443" s="120" t="s">
        <v>206</v>
      </c>
      <c r="D443" s="120" t="s">
        <v>212</v>
      </c>
      <c r="E443" s="120" t="s">
        <v>3</v>
      </c>
      <c r="F443" s="121">
        <v>3050</v>
      </c>
      <c r="H443" s="81"/>
      <c r="I443" s="81"/>
      <c r="J443" s="81"/>
      <c r="K443" s="81"/>
      <c r="L443" s="81"/>
      <c r="M443" s="81"/>
    </row>
    <row r="444" spans="1:13" x14ac:dyDescent="0.25">
      <c r="A444" s="120" t="s">
        <v>951</v>
      </c>
      <c r="B444" s="120" t="s">
        <v>951</v>
      </c>
      <c r="C444" s="120" t="s">
        <v>206</v>
      </c>
      <c r="D444" s="120" t="s">
        <v>212</v>
      </c>
      <c r="E444" s="120" t="s">
        <v>0</v>
      </c>
      <c r="F444" s="121">
        <v>3050</v>
      </c>
      <c r="H444" s="81"/>
      <c r="I444" s="81"/>
      <c r="J444" s="81"/>
      <c r="K444" s="81"/>
      <c r="L444" s="81"/>
      <c r="M444" s="81"/>
    </row>
    <row r="445" spans="1:13" x14ac:dyDescent="0.25">
      <c r="A445" s="120" t="s">
        <v>951</v>
      </c>
      <c r="B445" s="120" t="s">
        <v>951</v>
      </c>
      <c r="C445" s="120" t="s">
        <v>206</v>
      </c>
      <c r="D445" s="120" t="s">
        <v>212</v>
      </c>
      <c r="E445" s="120" t="s">
        <v>2</v>
      </c>
      <c r="F445" s="121">
        <v>3050</v>
      </c>
      <c r="H445" s="81"/>
      <c r="I445" s="81"/>
      <c r="J445" s="81"/>
      <c r="K445" s="81"/>
      <c r="L445" s="81"/>
      <c r="M445" s="81"/>
    </row>
    <row r="446" spans="1:13" x14ac:dyDescent="0.25">
      <c r="A446" s="120" t="s">
        <v>951</v>
      </c>
      <c r="B446" s="120" t="s">
        <v>951</v>
      </c>
      <c r="C446" s="120" t="s">
        <v>206</v>
      </c>
      <c r="D446" s="120" t="s">
        <v>212</v>
      </c>
      <c r="E446" s="120" t="s">
        <v>298</v>
      </c>
      <c r="F446" s="121">
        <v>3050</v>
      </c>
      <c r="H446" s="81"/>
      <c r="I446" s="81"/>
      <c r="J446" s="81"/>
      <c r="K446" s="81"/>
      <c r="L446" s="81"/>
      <c r="M446" s="81"/>
    </row>
    <row r="447" spans="1:13" x14ac:dyDescent="0.25">
      <c r="A447" s="120" t="s">
        <v>951</v>
      </c>
      <c r="B447" s="120" t="s">
        <v>951</v>
      </c>
      <c r="C447" s="120" t="s">
        <v>206</v>
      </c>
      <c r="D447" s="120" t="s">
        <v>212</v>
      </c>
      <c r="E447" s="120" t="s">
        <v>294</v>
      </c>
      <c r="F447" s="121">
        <v>3050</v>
      </c>
      <c r="H447" s="81"/>
      <c r="I447" s="81"/>
      <c r="J447" s="81"/>
      <c r="K447" s="81"/>
      <c r="L447" s="81"/>
      <c r="M447" s="81"/>
    </row>
    <row r="448" spans="1:13" x14ac:dyDescent="0.25">
      <c r="A448" s="120" t="s">
        <v>951</v>
      </c>
      <c r="B448" s="120" t="s">
        <v>951</v>
      </c>
      <c r="C448" s="120" t="s">
        <v>206</v>
      </c>
      <c r="D448" s="120" t="s">
        <v>212</v>
      </c>
      <c r="E448" s="120" t="s">
        <v>1</v>
      </c>
      <c r="F448" s="121">
        <v>3050</v>
      </c>
      <c r="H448" s="81"/>
      <c r="I448" s="81"/>
      <c r="J448" s="81"/>
      <c r="K448" s="81"/>
      <c r="L448" s="81"/>
      <c r="M448" s="81"/>
    </row>
    <row r="449" spans="1:13" x14ac:dyDescent="0.25">
      <c r="A449" s="107"/>
      <c r="B449" s="107"/>
      <c r="C449" s="107"/>
      <c r="D449" s="107"/>
      <c r="E449" s="107"/>
      <c r="F449" s="108"/>
      <c r="H449" s="81"/>
      <c r="I449" s="81"/>
      <c r="J449" s="81"/>
      <c r="K449" s="81"/>
      <c r="L449" s="81"/>
      <c r="M449" s="81"/>
    </row>
    <row r="450" spans="1:13" x14ac:dyDescent="0.25">
      <c r="A450" s="107"/>
      <c r="B450" s="107"/>
      <c r="C450" s="107"/>
      <c r="D450" s="107"/>
      <c r="E450" s="107"/>
      <c r="F450" s="108"/>
      <c r="H450" s="81"/>
      <c r="I450" s="81"/>
      <c r="J450" s="81"/>
      <c r="K450" s="81"/>
      <c r="L450" s="81"/>
      <c r="M450" s="81"/>
    </row>
    <row r="451" spans="1:13" x14ac:dyDescent="0.25">
      <c r="A451" s="107"/>
      <c r="B451" s="107"/>
      <c r="C451" s="107"/>
      <c r="D451" s="107"/>
      <c r="E451" s="107"/>
      <c r="F451" s="108"/>
      <c r="H451" s="81"/>
      <c r="I451" s="81"/>
      <c r="J451" s="81"/>
      <c r="K451" s="81"/>
      <c r="L451" s="81"/>
      <c r="M451" s="81"/>
    </row>
    <row r="452" spans="1:13" x14ac:dyDescent="0.25">
      <c r="A452" s="107"/>
      <c r="B452" s="107"/>
      <c r="C452" s="107"/>
      <c r="D452" s="107"/>
      <c r="E452" s="107"/>
      <c r="F452" s="108"/>
      <c r="H452" s="81"/>
      <c r="I452" s="81"/>
      <c r="J452" s="81"/>
      <c r="K452" s="81"/>
      <c r="L452" s="81"/>
      <c r="M452" s="81"/>
    </row>
    <row r="453" spans="1:13" x14ac:dyDescent="0.25">
      <c r="A453" s="107"/>
      <c r="B453" s="107"/>
      <c r="C453" s="107"/>
      <c r="D453" s="107"/>
      <c r="E453" s="107"/>
      <c r="F453" s="108"/>
      <c r="H453" s="81"/>
      <c r="I453" s="81"/>
      <c r="J453" s="81"/>
      <c r="K453" s="81"/>
      <c r="L453" s="81"/>
      <c r="M453" s="81"/>
    </row>
    <row r="454" spans="1:13" x14ac:dyDescent="0.25">
      <c r="A454" s="107"/>
      <c r="B454" s="107"/>
      <c r="C454" s="107"/>
      <c r="D454" s="107"/>
      <c r="E454" s="107"/>
      <c r="F454" s="108"/>
      <c r="H454" s="81"/>
      <c r="I454" s="81"/>
      <c r="J454" s="81"/>
      <c r="K454" s="81"/>
      <c r="L454" s="81"/>
      <c r="M454" s="81"/>
    </row>
    <row r="455" spans="1:13" x14ac:dyDescent="0.25">
      <c r="A455" s="107"/>
      <c r="B455" s="107"/>
      <c r="C455" s="107"/>
      <c r="D455" s="107"/>
      <c r="E455" s="107"/>
      <c r="F455" s="108"/>
      <c r="H455" s="81"/>
      <c r="I455" s="81"/>
      <c r="J455" s="81"/>
      <c r="K455" s="81"/>
      <c r="L455" s="81"/>
      <c r="M455" s="81"/>
    </row>
    <row r="456" spans="1:13" x14ac:dyDescent="0.25">
      <c r="A456" s="107"/>
      <c r="B456" s="107"/>
      <c r="C456" s="107"/>
      <c r="D456" s="107"/>
      <c r="E456" s="107"/>
      <c r="F456" s="108"/>
      <c r="H456" s="81"/>
      <c r="I456" s="81"/>
      <c r="J456" s="81"/>
      <c r="K456" s="81"/>
      <c r="L456" s="81"/>
      <c r="M456" s="81"/>
    </row>
    <row r="457" spans="1:13" x14ac:dyDescent="0.25">
      <c r="A457" s="107"/>
      <c r="B457" s="107"/>
      <c r="C457" s="107"/>
      <c r="D457" s="107"/>
      <c r="E457" s="107"/>
      <c r="F457" s="108"/>
      <c r="H457" s="81"/>
      <c r="I457" s="81"/>
      <c r="J457" s="81"/>
      <c r="K457" s="81"/>
      <c r="L457" s="81"/>
      <c r="M457" s="81"/>
    </row>
    <row r="458" spans="1:13" x14ac:dyDescent="0.25">
      <c r="A458" s="107"/>
      <c r="B458" s="107"/>
      <c r="C458" s="107"/>
      <c r="D458" s="107"/>
      <c r="E458" s="107"/>
      <c r="F458" s="108"/>
      <c r="H458" s="81"/>
      <c r="I458" s="81"/>
      <c r="J458" s="81"/>
      <c r="K458" s="81"/>
      <c r="L458" s="81"/>
      <c r="M458" s="81"/>
    </row>
    <row r="459" spans="1:13" x14ac:dyDescent="0.25">
      <c r="A459" s="107"/>
      <c r="B459" s="107"/>
      <c r="C459" s="107"/>
      <c r="D459" s="107"/>
      <c r="E459" s="107"/>
      <c r="F459" s="108"/>
      <c r="H459" s="81"/>
      <c r="I459" s="81"/>
      <c r="J459" s="81"/>
      <c r="K459" s="81"/>
      <c r="L459" s="81"/>
      <c r="M459" s="81"/>
    </row>
    <row r="460" spans="1:13" x14ac:dyDescent="0.25">
      <c r="A460" s="107"/>
      <c r="B460" s="107"/>
      <c r="C460" s="107"/>
      <c r="D460" s="107"/>
      <c r="E460" s="107"/>
      <c r="F460" s="108"/>
      <c r="H460" s="81"/>
      <c r="I460" s="81"/>
      <c r="J460" s="81"/>
      <c r="K460" s="81"/>
      <c r="L460" s="81"/>
      <c r="M460" s="81"/>
    </row>
    <row r="461" spans="1:13" x14ac:dyDescent="0.25">
      <c r="A461" s="107"/>
      <c r="B461" s="107"/>
      <c r="C461" s="107"/>
      <c r="D461" s="107"/>
      <c r="E461" s="107"/>
      <c r="F461" s="108"/>
      <c r="H461" s="81"/>
      <c r="I461" s="81"/>
      <c r="J461" s="81"/>
      <c r="K461" s="81"/>
      <c r="L461" s="81"/>
      <c r="M461" s="81"/>
    </row>
    <row r="462" spans="1:13" x14ac:dyDescent="0.25">
      <c r="A462" s="107"/>
      <c r="B462" s="107"/>
      <c r="C462" s="107"/>
      <c r="D462" s="107"/>
      <c r="E462" s="107"/>
      <c r="F462" s="108"/>
      <c r="H462" s="81"/>
      <c r="I462" s="81"/>
      <c r="J462" s="81"/>
      <c r="K462" s="81"/>
      <c r="L462" s="81"/>
      <c r="M462" s="81"/>
    </row>
    <row r="463" spans="1:13" x14ac:dyDescent="0.25">
      <c r="A463" s="107"/>
      <c r="B463" s="107"/>
      <c r="C463" s="107"/>
      <c r="D463" s="107"/>
      <c r="E463" s="107"/>
      <c r="F463" s="108"/>
      <c r="H463" s="81"/>
      <c r="I463" s="81"/>
      <c r="J463" s="81"/>
      <c r="K463" s="81"/>
      <c r="L463" s="81"/>
      <c r="M463" s="81"/>
    </row>
    <row r="464" spans="1:13" x14ac:dyDescent="0.25">
      <c r="A464" s="107"/>
      <c r="B464" s="107"/>
      <c r="C464" s="107"/>
      <c r="D464" s="107"/>
      <c r="E464" s="107"/>
      <c r="F464" s="108"/>
      <c r="H464" s="81"/>
      <c r="I464" s="81"/>
      <c r="J464" s="81"/>
      <c r="K464" s="81"/>
      <c r="L464" s="81"/>
      <c r="M464" s="81"/>
    </row>
    <row r="465" spans="1:13" x14ac:dyDescent="0.25">
      <c r="A465" s="107"/>
      <c r="B465" s="107"/>
      <c r="C465" s="107"/>
      <c r="D465" s="107"/>
      <c r="E465" s="107"/>
      <c r="F465" s="108"/>
      <c r="H465" s="81"/>
      <c r="I465" s="81"/>
      <c r="J465" s="81"/>
      <c r="K465" s="81"/>
      <c r="L465" s="81"/>
      <c r="M465" s="81"/>
    </row>
    <row r="466" spans="1:13" x14ac:dyDescent="0.25">
      <c r="A466" s="91"/>
      <c r="B466" s="91"/>
      <c r="C466" s="91"/>
      <c r="D466" s="91"/>
      <c r="E466" s="91"/>
      <c r="F466" s="92"/>
      <c r="H466" s="81"/>
      <c r="I466" s="81"/>
      <c r="J466" s="81"/>
      <c r="K466" s="81"/>
      <c r="L466" s="81"/>
      <c r="M466" s="81"/>
    </row>
    <row r="467" spans="1:13" x14ac:dyDescent="0.25">
      <c r="A467" s="91"/>
      <c r="B467" s="91"/>
      <c r="C467" s="91"/>
      <c r="D467" s="91"/>
      <c r="E467" s="91"/>
      <c r="F467" s="92"/>
      <c r="H467" s="81"/>
      <c r="I467" s="81"/>
      <c r="J467" s="81"/>
      <c r="K467" s="81"/>
      <c r="L467" s="81"/>
      <c r="M467" s="81"/>
    </row>
    <row r="468" spans="1:13" x14ac:dyDescent="0.25">
      <c r="A468" s="91"/>
      <c r="B468" s="91"/>
      <c r="C468" s="91"/>
      <c r="D468" s="91"/>
      <c r="E468" s="91"/>
      <c r="F468" s="92"/>
      <c r="H468" s="81"/>
      <c r="I468" s="81"/>
      <c r="J468" s="81"/>
      <c r="K468" s="81"/>
      <c r="L468" s="81"/>
      <c r="M468" s="81"/>
    </row>
    <row r="469" spans="1:13" x14ac:dyDescent="0.25">
      <c r="A469" s="91"/>
      <c r="B469" s="91"/>
      <c r="C469" s="91"/>
      <c r="D469" s="91"/>
      <c r="E469" s="91"/>
      <c r="F469" s="92"/>
      <c r="H469" s="81"/>
      <c r="I469" s="81"/>
      <c r="J469" s="81"/>
      <c r="K469" s="81"/>
      <c r="L469" s="81"/>
      <c r="M469" s="81"/>
    </row>
    <row r="470" spans="1:13" x14ac:dyDescent="0.25">
      <c r="A470" s="91"/>
      <c r="B470" s="91"/>
      <c r="C470" s="91"/>
      <c r="D470" s="91"/>
      <c r="E470" s="91"/>
      <c r="F470" s="92"/>
      <c r="H470" s="81"/>
      <c r="I470" s="81"/>
      <c r="J470" s="81"/>
      <c r="K470" s="81"/>
      <c r="L470" s="81"/>
      <c r="M470" s="81"/>
    </row>
    <row r="471" spans="1:13" x14ac:dyDescent="0.25">
      <c r="A471" s="91"/>
      <c r="B471" s="91"/>
      <c r="C471" s="91"/>
      <c r="D471" s="91"/>
      <c r="E471" s="91"/>
      <c r="F471" s="9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8"/>
  <sheetViews>
    <sheetView showGridLines="0" workbookViewId="0"/>
  </sheetViews>
  <sheetFormatPr defaultRowHeight="15" x14ac:dyDescent="0.25"/>
  <sheetData>
    <row r="1" spans="1:11" x14ac:dyDescent="0.25">
      <c r="A1" s="1" t="s">
        <v>9</v>
      </c>
      <c r="B1" s="2" t="s">
        <v>10</v>
      </c>
      <c r="D1" s="15" t="s">
        <v>289</v>
      </c>
    </row>
    <row r="2" spans="1:11" x14ac:dyDescent="0.25">
      <c r="A2" s="3" t="s">
        <v>11</v>
      </c>
      <c r="B2" s="4" t="s">
        <v>12</v>
      </c>
    </row>
    <row r="3" spans="1:11" x14ac:dyDescent="0.25">
      <c r="A3" s="5" t="s">
        <v>13</v>
      </c>
      <c r="B3" s="6" t="s">
        <v>12</v>
      </c>
      <c r="D3" s="33" t="s">
        <v>302</v>
      </c>
      <c r="E3" s="33"/>
      <c r="F3" s="33"/>
      <c r="G3" s="33"/>
      <c r="H3" s="33"/>
      <c r="I3" s="33"/>
      <c r="J3" s="33"/>
      <c r="K3" s="33"/>
    </row>
    <row r="4" spans="1:11" x14ac:dyDescent="0.25">
      <c r="A4" s="5" t="s">
        <v>14</v>
      </c>
      <c r="B4" s="6" t="s">
        <v>12</v>
      </c>
      <c r="D4" s="33" t="s">
        <v>303</v>
      </c>
      <c r="E4" s="33"/>
      <c r="F4" s="33"/>
      <c r="G4" s="33"/>
      <c r="H4" s="33"/>
      <c r="I4" s="33"/>
      <c r="J4" s="33"/>
      <c r="K4" s="33"/>
    </row>
    <row r="5" spans="1:11" x14ac:dyDescent="0.25">
      <c r="A5" s="5" t="s">
        <v>15</v>
      </c>
      <c r="B5" s="6" t="s">
        <v>12</v>
      </c>
      <c r="D5" s="33" t="s">
        <v>304</v>
      </c>
      <c r="E5" s="33"/>
      <c r="F5" s="33"/>
      <c r="G5" s="33"/>
      <c r="H5" s="33"/>
      <c r="I5" s="33"/>
      <c r="J5" s="33"/>
      <c r="K5" s="33"/>
    </row>
    <row r="6" spans="1:11" x14ac:dyDescent="0.25">
      <c r="A6" s="5" t="s">
        <v>16</v>
      </c>
      <c r="B6" s="6" t="s">
        <v>12</v>
      </c>
      <c r="D6" s="33" t="s">
        <v>305</v>
      </c>
      <c r="E6" s="33"/>
      <c r="F6" s="33"/>
      <c r="G6" s="33"/>
      <c r="H6" s="33"/>
      <c r="I6" s="33"/>
      <c r="J6" s="33"/>
      <c r="K6" s="33"/>
    </row>
    <row r="7" spans="1:11" x14ac:dyDescent="0.25">
      <c r="A7" s="5" t="s">
        <v>17</v>
      </c>
      <c r="B7" s="6" t="s">
        <v>12</v>
      </c>
      <c r="D7" s="33" t="s">
        <v>306</v>
      </c>
      <c r="E7" s="33"/>
      <c r="F7" s="33"/>
      <c r="G7" s="33"/>
      <c r="H7" s="33"/>
      <c r="I7" s="33"/>
      <c r="J7" s="33"/>
      <c r="K7" s="33"/>
    </row>
    <row r="8" spans="1:11" x14ac:dyDescent="0.25">
      <c r="A8" s="5" t="s">
        <v>18</v>
      </c>
      <c r="B8" s="6" t="s">
        <v>12</v>
      </c>
      <c r="D8" s="33" t="s">
        <v>307</v>
      </c>
      <c r="E8" s="33"/>
      <c r="F8" s="33"/>
      <c r="G8" s="33"/>
      <c r="H8" s="33"/>
      <c r="I8" s="33"/>
      <c r="J8" s="33"/>
      <c r="K8" s="33"/>
    </row>
    <row r="9" spans="1:11" x14ac:dyDescent="0.25">
      <c r="A9" s="5" t="s">
        <v>19</v>
      </c>
      <c r="B9" s="6" t="s">
        <v>12</v>
      </c>
      <c r="D9" s="33" t="s">
        <v>308</v>
      </c>
      <c r="E9" s="33"/>
      <c r="F9" s="33"/>
      <c r="G9" s="33"/>
      <c r="H9" s="33"/>
      <c r="I9" s="33"/>
      <c r="J9" s="33"/>
      <c r="K9" s="33"/>
    </row>
    <row r="10" spans="1:11" x14ac:dyDescent="0.25">
      <c r="A10" s="5" t="s">
        <v>20</v>
      </c>
      <c r="B10" s="6" t="s">
        <v>12</v>
      </c>
      <c r="D10" s="33" t="s">
        <v>309</v>
      </c>
      <c r="E10" s="33"/>
      <c r="F10" s="33"/>
      <c r="G10" s="33"/>
      <c r="H10" s="33"/>
      <c r="I10" s="33"/>
      <c r="J10" s="33"/>
      <c r="K10" s="33"/>
    </row>
    <row r="11" spans="1:11" x14ac:dyDescent="0.25">
      <c r="A11" s="5" t="s">
        <v>21</v>
      </c>
      <c r="B11" s="6" t="s">
        <v>12</v>
      </c>
      <c r="D11" s="33" t="s">
        <v>310</v>
      </c>
      <c r="E11" s="33"/>
      <c r="F11" s="33"/>
      <c r="G11" s="33"/>
      <c r="H11" s="33"/>
      <c r="I11" s="33"/>
      <c r="J11" s="33"/>
      <c r="K11" s="33"/>
    </row>
    <row r="12" spans="1:11" x14ac:dyDescent="0.25">
      <c r="A12" s="5" t="s">
        <v>22</v>
      </c>
      <c r="B12" s="6" t="s">
        <v>12</v>
      </c>
      <c r="D12" s="33" t="s">
        <v>311</v>
      </c>
      <c r="E12" s="33"/>
      <c r="F12" s="33"/>
      <c r="G12" s="33"/>
      <c r="H12" s="33"/>
      <c r="I12" s="33"/>
      <c r="J12" s="33"/>
      <c r="K12" s="33"/>
    </row>
    <row r="13" spans="1:11" x14ac:dyDescent="0.25">
      <c r="A13" s="5" t="s">
        <v>23</v>
      </c>
      <c r="B13" s="6" t="s">
        <v>12</v>
      </c>
      <c r="D13" s="33" t="s">
        <v>312</v>
      </c>
      <c r="E13" s="33"/>
      <c r="F13" s="33"/>
      <c r="G13" s="33"/>
      <c r="H13" s="33"/>
      <c r="I13" s="33"/>
      <c r="J13" s="33"/>
      <c r="K13" s="33"/>
    </row>
    <row r="14" spans="1:11" x14ac:dyDescent="0.25">
      <c r="A14" s="5" t="s">
        <v>24</v>
      </c>
      <c r="B14" s="6" t="s">
        <v>12</v>
      </c>
      <c r="D14" s="33" t="s">
        <v>313</v>
      </c>
      <c r="E14" s="33"/>
      <c r="F14" s="33"/>
      <c r="G14" s="33"/>
      <c r="H14" s="33"/>
      <c r="I14" s="33"/>
      <c r="J14" s="33"/>
      <c r="K14" s="33"/>
    </row>
    <row r="15" spans="1:11" x14ac:dyDescent="0.25">
      <c r="A15" s="5" t="s">
        <v>25</v>
      </c>
      <c r="B15" s="6" t="s">
        <v>12</v>
      </c>
      <c r="D15" s="33" t="s">
        <v>314</v>
      </c>
      <c r="E15" s="33"/>
      <c r="F15" s="33"/>
      <c r="G15" s="33"/>
      <c r="H15" s="33"/>
      <c r="I15" s="33"/>
      <c r="J15" s="33"/>
      <c r="K15" s="33"/>
    </row>
    <row r="16" spans="1:11" x14ac:dyDescent="0.25">
      <c r="A16" s="5" t="s">
        <v>26</v>
      </c>
      <c r="B16" s="6" t="s">
        <v>12</v>
      </c>
      <c r="D16" s="33" t="s">
        <v>315</v>
      </c>
      <c r="E16" s="33"/>
      <c r="F16" s="33"/>
      <c r="G16" s="33"/>
      <c r="H16" s="33"/>
      <c r="I16" s="33"/>
      <c r="J16" s="33"/>
      <c r="K16" s="33"/>
    </row>
    <row r="17" spans="1:11" x14ac:dyDescent="0.25">
      <c r="A17" s="5" t="s">
        <v>27</v>
      </c>
      <c r="B17" s="6" t="s">
        <v>12</v>
      </c>
      <c r="D17" s="33" t="s">
        <v>316</v>
      </c>
      <c r="E17" s="33"/>
      <c r="F17" s="33"/>
      <c r="G17" s="33"/>
      <c r="H17" s="33"/>
      <c r="I17" s="33"/>
      <c r="J17" s="33"/>
      <c r="K17" s="33"/>
    </row>
    <row r="18" spans="1:11" x14ac:dyDescent="0.25">
      <c r="A18" s="5" t="s">
        <v>28</v>
      </c>
      <c r="B18" s="6" t="s">
        <v>12</v>
      </c>
      <c r="D18" s="33" t="s">
        <v>317</v>
      </c>
      <c r="E18" s="33"/>
      <c r="F18" s="33"/>
      <c r="G18" s="33"/>
      <c r="H18" s="33"/>
      <c r="I18" s="33"/>
      <c r="J18" s="33"/>
      <c r="K18" s="33"/>
    </row>
    <row r="19" spans="1:11" x14ac:dyDescent="0.25">
      <c r="A19" s="5" t="s">
        <v>29</v>
      </c>
      <c r="B19" s="6" t="s">
        <v>12</v>
      </c>
      <c r="D19" s="33" t="s">
        <v>318</v>
      </c>
      <c r="E19" s="33"/>
      <c r="F19" s="33"/>
      <c r="G19" s="33"/>
      <c r="H19" s="33"/>
      <c r="I19" s="33"/>
      <c r="J19" s="33"/>
      <c r="K19" s="33"/>
    </row>
    <row r="20" spans="1:11" x14ac:dyDescent="0.25">
      <c r="A20" s="5" t="s">
        <v>30</v>
      </c>
      <c r="B20" s="6" t="s">
        <v>12</v>
      </c>
      <c r="D20" s="33" t="s">
        <v>319</v>
      </c>
      <c r="E20" s="33"/>
      <c r="F20" s="33"/>
      <c r="G20" s="33"/>
      <c r="H20" s="33"/>
      <c r="I20" s="33"/>
      <c r="J20" s="33"/>
      <c r="K20" s="33"/>
    </row>
    <row r="21" spans="1:11" x14ac:dyDescent="0.25">
      <c r="A21" s="5" t="s">
        <v>31</v>
      </c>
      <c r="B21" s="6" t="s">
        <v>12</v>
      </c>
    </row>
    <row r="22" spans="1:11" x14ac:dyDescent="0.25">
      <c r="A22" s="5" t="s">
        <v>32</v>
      </c>
      <c r="B22" s="6" t="s">
        <v>12</v>
      </c>
      <c r="D22" s="33" t="s">
        <v>323</v>
      </c>
      <c r="E22" s="33" t="s">
        <v>324</v>
      </c>
    </row>
    <row r="23" spans="1:11" x14ac:dyDescent="0.25">
      <c r="A23" s="5" t="s">
        <v>33</v>
      </c>
      <c r="B23" s="6" t="s">
        <v>12</v>
      </c>
      <c r="D23" s="33" t="s">
        <v>320</v>
      </c>
      <c r="E23" s="33" t="s">
        <v>327</v>
      </c>
    </row>
    <row r="24" spans="1:11" x14ac:dyDescent="0.25">
      <c r="A24" s="5" t="s">
        <v>34</v>
      </c>
      <c r="B24" s="6" t="s">
        <v>12</v>
      </c>
      <c r="D24" s="33" t="s">
        <v>325</v>
      </c>
      <c r="E24" s="33" t="s">
        <v>321</v>
      </c>
    </row>
    <row r="25" spans="1:11" x14ac:dyDescent="0.25">
      <c r="A25" s="5" t="s">
        <v>35</v>
      </c>
      <c r="B25" s="6" t="s">
        <v>12</v>
      </c>
      <c r="D25" s="33" t="s">
        <v>326</v>
      </c>
      <c r="E25" s="33" t="s">
        <v>322</v>
      </c>
    </row>
    <row r="26" spans="1:11" x14ac:dyDescent="0.25">
      <c r="A26" s="5" t="s">
        <v>36</v>
      </c>
      <c r="B26" s="6" t="s">
        <v>12</v>
      </c>
    </row>
    <row r="27" spans="1:11" x14ac:dyDescent="0.25">
      <c r="A27" s="5" t="s">
        <v>37</v>
      </c>
      <c r="B27" s="6" t="s">
        <v>38</v>
      </c>
    </row>
    <row r="28" spans="1:11" x14ac:dyDescent="0.25">
      <c r="A28" s="5" t="s">
        <v>39</v>
      </c>
      <c r="B28" s="6" t="s">
        <v>38</v>
      </c>
    </row>
    <row r="29" spans="1:11" x14ac:dyDescent="0.25">
      <c r="A29" s="5" t="s">
        <v>40</v>
      </c>
      <c r="B29" s="6" t="s">
        <v>38</v>
      </c>
    </row>
    <row r="30" spans="1:11" x14ac:dyDescent="0.25">
      <c r="A30" s="5" t="s">
        <v>41</v>
      </c>
      <c r="B30" s="6" t="s">
        <v>38</v>
      </c>
    </row>
    <row r="31" spans="1:11" x14ac:dyDescent="0.25">
      <c r="A31" s="5" t="s">
        <v>42</v>
      </c>
      <c r="B31" s="6" t="s">
        <v>38</v>
      </c>
    </row>
    <row r="32" spans="1:11" x14ac:dyDescent="0.25">
      <c r="A32" s="5" t="s">
        <v>43</v>
      </c>
      <c r="B32" s="6" t="s">
        <v>44</v>
      </c>
    </row>
    <row r="33" spans="1:2" x14ac:dyDescent="0.25">
      <c r="A33" s="5" t="s">
        <v>45</v>
      </c>
      <c r="B33" s="6" t="s">
        <v>44</v>
      </c>
    </row>
    <row r="34" spans="1:2" x14ac:dyDescent="0.25">
      <c r="A34" s="5" t="s">
        <v>46</v>
      </c>
      <c r="B34" s="6" t="s">
        <v>44</v>
      </c>
    </row>
    <row r="35" spans="1:2" x14ac:dyDescent="0.25">
      <c r="A35" s="5" t="s">
        <v>47</v>
      </c>
      <c r="B35" s="6" t="s">
        <v>44</v>
      </c>
    </row>
    <row r="36" spans="1:2" x14ac:dyDescent="0.25">
      <c r="A36" s="5" t="s">
        <v>48</v>
      </c>
      <c r="B36" s="6" t="s">
        <v>44</v>
      </c>
    </row>
    <row r="37" spans="1:2" x14ac:dyDescent="0.25">
      <c r="A37" s="5" t="s">
        <v>49</v>
      </c>
      <c r="B37" s="6" t="s">
        <v>44</v>
      </c>
    </row>
    <row r="38" spans="1:2" x14ac:dyDescent="0.25">
      <c r="A38" s="5" t="s">
        <v>50</v>
      </c>
      <c r="B38" s="6" t="s">
        <v>44</v>
      </c>
    </row>
    <row r="39" spans="1:2" x14ac:dyDescent="0.25">
      <c r="A39" s="5" t="s">
        <v>51</v>
      </c>
      <c r="B39" s="6" t="s">
        <v>52</v>
      </c>
    </row>
    <row r="40" spans="1:2" x14ac:dyDescent="0.25">
      <c r="A40" s="5" t="s">
        <v>53</v>
      </c>
      <c r="B40" s="6" t="s">
        <v>54</v>
      </c>
    </row>
    <row r="41" spans="1:2" x14ac:dyDescent="0.25">
      <c r="A41" s="5" t="s">
        <v>55</v>
      </c>
      <c r="B41" s="6" t="s">
        <v>54</v>
      </c>
    </row>
    <row r="42" spans="1:2" x14ac:dyDescent="0.25">
      <c r="A42" s="5" t="s">
        <v>56</v>
      </c>
      <c r="B42" s="6" t="s">
        <v>54</v>
      </c>
    </row>
    <row r="43" spans="1:2" x14ac:dyDescent="0.25">
      <c r="A43" s="5" t="s">
        <v>57</v>
      </c>
      <c r="B43" s="6" t="s">
        <v>54</v>
      </c>
    </row>
    <row r="44" spans="1:2" x14ac:dyDescent="0.25">
      <c r="A44" s="5" t="s">
        <v>58</v>
      </c>
      <c r="B44" s="6" t="s">
        <v>59</v>
      </c>
    </row>
    <row r="45" spans="1:2" x14ac:dyDescent="0.25">
      <c r="A45" s="5" t="s">
        <v>60</v>
      </c>
      <c r="B45" s="6" t="s">
        <v>59</v>
      </c>
    </row>
    <row r="46" spans="1:2" x14ac:dyDescent="0.25">
      <c r="A46" s="5" t="s">
        <v>61</v>
      </c>
      <c r="B46" s="6" t="s">
        <v>59</v>
      </c>
    </row>
    <row r="47" spans="1:2" x14ac:dyDescent="0.25">
      <c r="A47" s="5" t="s">
        <v>62</v>
      </c>
      <c r="B47" s="6" t="s">
        <v>59</v>
      </c>
    </row>
    <row r="48" spans="1:2" x14ac:dyDescent="0.25">
      <c r="A48" s="5" t="s">
        <v>63</v>
      </c>
      <c r="B48" s="6" t="s">
        <v>59</v>
      </c>
    </row>
    <row r="49" spans="1:2" x14ac:dyDescent="0.25">
      <c r="A49" s="5" t="s">
        <v>64</v>
      </c>
      <c r="B49" s="6" t="s">
        <v>59</v>
      </c>
    </row>
    <row r="50" spans="1:2" x14ac:dyDescent="0.25">
      <c r="A50" s="5" t="s">
        <v>65</v>
      </c>
      <c r="B50" s="6" t="s">
        <v>59</v>
      </c>
    </row>
    <row r="51" spans="1:2" x14ac:dyDescent="0.25">
      <c r="A51" s="5" t="s">
        <v>66</v>
      </c>
      <c r="B51" s="6" t="s">
        <v>59</v>
      </c>
    </row>
    <row r="52" spans="1:2" x14ac:dyDescent="0.25">
      <c r="A52" s="5" t="s">
        <v>67</v>
      </c>
      <c r="B52" s="6" t="s">
        <v>59</v>
      </c>
    </row>
    <row r="53" spans="1:2" x14ac:dyDescent="0.25">
      <c r="A53" s="5" t="s">
        <v>68</v>
      </c>
      <c r="B53" s="6" t="s">
        <v>59</v>
      </c>
    </row>
    <row r="54" spans="1:2" x14ac:dyDescent="0.25">
      <c r="A54" s="5" t="s">
        <v>69</v>
      </c>
      <c r="B54" s="6" t="s">
        <v>59</v>
      </c>
    </row>
    <row r="55" spans="1:2" x14ac:dyDescent="0.25">
      <c r="A55" s="5" t="s">
        <v>70</v>
      </c>
      <c r="B55" s="6" t="s">
        <v>59</v>
      </c>
    </row>
    <row r="56" spans="1:2" x14ac:dyDescent="0.25">
      <c r="A56" s="5" t="s">
        <v>71</v>
      </c>
      <c r="B56" s="6" t="s">
        <v>59</v>
      </c>
    </row>
    <row r="57" spans="1:2" x14ac:dyDescent="0.25">
      <c r="A57" s="5" t="s">
        <v>72</v>
      </c>
      <c r="B57" s="6" t="s">
        <v>59</v>
      </c>
    </row>
    <row r="58" spans="1:2" x14ac:dyDescent="0.25">
      <c r="A58" s="5" t="s">
        <v>73</v>
      </c>
      <c r="B58" s="6" t="s">
        <v>59</v>
      </c>
    </row>
    <row r="59" spans="1:2" x14ac:dyDescent="0.25">
      <c r="A59" s="5" t="s">
        <v>74</v>
      </c>
      <c r="B59" s="6" t="s">
        <v>59</v>
      </c>
    </row>
    <row r="60" spans="1:2" x14ac:dyDescent="0.25">
      <c r="A60" s="5" t="s">
        <v>75</v>
      </c>
      <c r="B60" s="6" t="s">
        <v>59</v>
      </c>
    </row>
    <row r="61" spans="1:2" x14ac:dyDescent="0.25">
      <c r="A61" s="5" t="s">
        <v>76</v>
      </c>
      <c r="B61" s="6" t="s">
        <v>59</v>
      </c>
    </row>
    <row r="62" spans="1:2" x14ac:dyDescent="0.25">
      <c r="A62" s="5" t="s">
        <v>77</v>
      </c>
      <c r="B62" s="6" t="s">
        <v>78</v>
      </c>
    </row>
    <row r="63" spans="1:2" x14ac:dyDescent="0.25">
      <c r="A63" s="5" t="s">
        <v>79</v>
      </c>
      <c r="B63" s="6" t="s">
        <v>78</v>
      </c>
    </row>
    <row r="64" spans="1:2" x14ac:dyDescent="0.25">
      <c r="A64" s="5" t="s">
        <v>80</v>
      </c>
      <c r="B64" s="6" t="s">
        <v>78</v>
      </c>
    </row>
    <row r="65" spans="1:2" x14ac:dyDescent="0.25">
      <c r="A65" s="5" t="s">
        <v>81</v>
      </c>
      <c r="B65" s="6" t="s">
        <v>82</v>
      </c>
    </row>
    <row r="66" spans="1:2" x14ac:dyDescent="0.25">
      <c r="A66" s="5" t="s">
        <v>83</v>
      </c>
      <c r="B66" s="6" t="s">
        <v>82</v>
      </c>
    </row>
    <row r="67" spans="1:2" x14ac:dyDescent="0.25">
      <c r="A67" s="5" t="s">
        <v>84</v>
      </c>
      <c r="B67" s="6" t="s">
        <v>82</v>
      </c>
    </row>
    <row r="68" spans="1:2" x14ac:dyDescent="0.25">
      <c r="A68" s="5" t="s">
        <v>85</v>
      </c>
      <c r="B68" s="6" t="s">
        <v>82</v>
      </c>
    </row>
    <row r="69" spans="1:2" x14ac:dyDescent="0.25">
      <c r="A69" s="5" t="s">
        <v>86</v>
      </c>
      <c r="B69" s="6" t="s">
        <v>87</v>
      </c>
    </row>
    <row r="70" spans="1:2" x14ac:dyDescent="0.25">
      <c r="A70" s="5" t="s">
        <v>88</v>
      </c>
      <c r="B70" s="6" t="s">
        <v>87</v>
      </c>
    </row>
    <row r="71" spans="1:2" x14ac:dyDescent="0.25">
      <c r="A71" s="5" t="s">
        <v>89</v>
      </c>
      <c r="B71" s="6" t="s">
        <v>87</v>
      </c>
    </row>
    <row r="72" spans="1:2" x14ac:dyDescent="0.25">
      <c r="A72" s="5" t="s">
        <v>90</v>
      </c>
      <c r="B72" s="6" t="s">
        <v>87</v>
      </c>
    </row>
    <row r="73" spans="1:2" x14ac:dyDescent="0.25">
      <c r="A73" s="5" t="s">
        <v>91</v>
      </c>
      <c r="B73" s="6" t="s">
        <v>87</v>
      </c>
    </row>
    <row r="74" spans="1:2" x14ac:dyDescent="0.25">
      <c r="A74" s="5" t="s">
        <v>92</v>
      </c>
      <c r="B74" s="6" t="s">
        <v>87</v>
      </c>
    </row>
    <row r="75" spans="1:2" x14ac:dyDescent="0.25">
      <c r="A75" s="5" t="s">
        <v>93</v>
      </c>
      <c r="B75" s="6" t="s">
        <v>87</v>
      </c>
    </row>
    <row r="76" spans="1:2" x14ac:dyDescent="0.25">
      <c r="A76" s="5" t="s">
        <v>94</v>
      </c>
      <c r="B76" s="6" t="s">
        <v>87</v>
      </c>
    </row>
    <row r="77" spans="1:2" x14ac:dyDescent="0.25">
      <c r="A77" s="5" t="s">
        <v>95</v>
      </c>
      <c r="B77" s="6" t="s">
        <v>87</v>
      </c>
    </row>
    <row r="78" spans="1:2" x14ac:dyDescent="0.25">
      <c r="A78" s="5" t="s">
        <v>96</v>
      </c>
      <c r="B78" s="6" t="s">
        <v>87</v>
      </c>
    </row>
    <row r="79" spans="1:2" x14ac:dyDescent="0.25">
      <c r="A79" s="5" t="s">
        <v>97</v>
      </c>
      <c r="B79" s="6" t="s">
        <v>87</v>
      </c>
    </row>
    <row r="80" spans="1:2" x14ac:dyDescent="0.25">
      <c r="A80" s="5" t="s">
        <v>98</v>
      </c>
      <c r="B80" s="6" t="s">
        <v>87</v>
      </c>
    </row>
    <row r="81" spans="1:2" x14ac:dyDescent="0.25">
      <c r="A81" s="5" t="s">
        <v>99</v>
      </c>
      <c r="B81" s="6" t="s">
        <v>87</v>
      </c>
    </row>
    <row r="82" spans="1:2" x14ac:dyDescent="0.25">
      <c r="A82" s="5" t="s">
        <v>100</v>
      </c>
      <c r="B82" s="6" t="s">
        <v>87</v>
      </c>
    </row>
    <row r="83" spans="1:2" x14ac:dyDescent="0.25">
      <c r="A83" s="5" t="s">
        <v>101</v>
      </c>
      <c r="B83" s="6" t="s">
        <v>87</v>
      </c>
    </row>
    <row r="84" spans="1:2" x14ac:dyDescent="0.25">
      <c r="A84" s="5" t="s">
        <v>102</v>
      </c>
      <c r="B84" s="6" t="s">
        <v>103</v>
      </c>
    </row>
    <row r="85" spans="1:2" x14ac:dyDescent="0.25">
      <c r="A85" s="5" t="s">
        <v>104</v>
      </c>
      <c r="B85" s="6" t="s">
        <v>103</v>
      </c>
    </row>
    <row r="86" spans="1:2" x14ac:dyDescent="0.25">
      <c r="A86" s="5" t="s">
        <v>105</v>
      </c>
      <c r="B86" s="6" t="s">
        <v>103</v>
      </c>
    </row>
    <row r="87" spans="1:2" x14ac:dyDescent="0.25">
      <c r="A87" s="5" t="s">
        <v>106</v>
      </c>
      <c r="B87" s="6" t="s">
        <v>103</v>
      </c>
    </row>
    <row r="88" spans="1:2" x14ac:dyDescent="0.25">
      <c r="A88" s="5" t="s">
        <v>107</v>
      </c>
      <c r="B88" s="6" t="s">
        <v>103</v>
      </c>
    </row>
    <row r="89" spans="1:2" x14ac:dyDescent="0.25">
      <c r="A89" s="5" t="s">
        <v>108</v>
      </c>
      <c r="B89" s="6" t="s">
        <v>103</v>
      </c>
    </row>
    <row r="90" spans="1:2" x14ac:dyDescent="0.25">
      <c r="A90" s="5" t="s">
        <v>109</v>
      </c>
      <c r="B90" s="6" t="s">
        <v>110</v>
      </c>
    </row>
    <row r="91" spans="1:2" x14ac:dyDescent="0.25">
      <c r="A91" s="5" t="s">
        <v>111</v>
      </c>
      <c r="B91" s="6" t="s">
        <v>110</v>
      </c>
    </row>
    <row r="92" spans="1:2" x14ac:dyDescent="0.25">
      <c r="A92" s="5" t="s">
        <v>112</v>
      </c>
      <c r="B92" s="6" t="s">
        <v>110</v>
      </c>
    </row>
    <row r="93" spans="1:2" x14ac:dyDescent="0.25">
      <c r="A93" s="5" t="s">
        <v>113</v>
      </c>
      <c r="B93" s="6" t="s">
        <v>110</v>
      </c>
    </row>
    <row r="94" spans="1:2" x14ac:dyDescent="0.25">
      <c r="A94" s="5" t="s">
        <v>114</v>
      </c>
      <c r="B94" s="6" t="s">
        <v>110</v>
      </c>
    </row>
    <row r="95" spans="1:2" x14ac:dyDescent="0.25">
      <c r="A95" s="5" t="s">
        <v>115</v>
      </c>
      <c r="B95" s="6" t="s">
        <v>110</v>
      </c>
    </row>
    <row r="96" spans="1:2" x14ac:dyDescent="0.25">
      <c r="A96" s="5" t="s">
        <v>116</v>
      </c>
      <c r="B96" s="6" t="s">
        <v>117</v>
      </c>
    </row>
    <row r="97" spans="1:2" x14ac:dyDescent="0.25">
      <c r="A97" s="5" t="s">
        <v>118</v>
      </c>
      <c r="B97" s="6" t="s">
        <v>117</v>
      </c>
    </row>
    <row r="98" spans="1:2" x14ac:dyDescent="0.25">
      <c r="A98" s="5" t="s">
        <v>119</v>
      </c>
      <c r="B98" s="6" t="s">
        <v>117</v>
      </c>
    </row>
    <row r="99" spans="1:2" x14ac:dyDescent="0.25">
      <c r="A99" s="5" t="s">
        <v>120</v>
      </c>
      <c r="B99" s="6" t="s">
        <v>117</v>
      </c>
    </row>
    <row r="100" spans="1:2" x14ac:dyDescent="0.25">
      <c r="A100" s="5" t="s">
        <v>121</v>
      </c>
      <c r="B100" s="6" t="s">
        <v>122</v>
      </c>
    </row>
    <row r="101" spans="1:2" x14ac:dyDescent="0.25">
      <c r="A101" s="5" t="s">
        <v>123</v>
      </c>
      <c r="B101" s="6" t="s">
        <v>122</v>
      </c>
    </row>
    <row r="102" spans="1:2" x14ac:dyDescent="0.25">
      <c r="A102" s="5" t="s">
        <v>124</v>
      </c>
      <c r="B102" s="6" t="s">
        <v>125</v>
      </c>
    </row>
    <row r="103" spans="1:2" x14ac:dyDescent="0.25">
      <c r="A103" s="5" t="s">
        <v>126</v>
      </c>
      <c r="B103" s="6" t="s">
        <v>125</v>
      </c>
    </row>
    <row r="104" spans="1:2" x14ac:dyDescent="0.25">
      <c r="A104" s="5" t="s">
        <v>127</v>
      </c>
      <c r="B104" s="6" t="s">
        <v>125</v>
      </c>
    </row>
    <row r="105" spans="1:2" x14ac:dyDescent="0.25">
      <c r="A105" s="5" t="s">
        <v>128</v>
      </c>
      <c r="B105" s="6" t="s">
        <v>125</v>
      </c>
    </row>
    <row r="106" spans="1:2" x14ac:dyDescent="0.25">
      <c r="A106" s="5" t="s">
        <v>129</v>
      </c>
      <c r="B106" s="6" t="s">
        <v>125</v>
      </c>
    </row>
    <row r="107" spans="1:2" x14ac:dyDescent="0.25">
      <c r="A107" s="5" t="s">
        <v>130</v>
      </c>
      <c r="B107" s="6" t="s">
        <v>125</v>
      </c>
    </row>
    <row r="108" spans="1:2" x14ac:dyDescent="0.25">
      <c r="A108" s="5" t="s">
        <v>131</v>
      </c>
      <c r="B108" s="6" t="s">
        <v>125</v>
      </c>
    </row>
    <row r="109" spans="1:2" x14ac:dyDescent="0.25">
      <c r="A109" s="5" t="s">
        <v>132</v>
      </c>
      <c r="B109" s="6" t="s">
        <v>125</v>
      </c>
    </row>
    <row r="110" spans="1:2" x14ac:dyDescent="0.25">
      <c r="A110" s="5" t="s">
        <v>133</v>
      </c>
      <c r="B110" s="6" t="s">
        <v>125</v>
      </c>
    </row>
    <row r="111" spans="1:2" x14ac:dyDescent="0.25">
      <c r="A111" s="5" t="s">
        <v>134</v>
      </c>
      <c r="B111" s="6" t="s">
        <v>125</v>
      </c>
    </row>
    <row r="112" spans="1:2" x14ac:dyDescent="0.25">
      <c r="A112" s="5" t="s">
        <v>135</v>
      </c>
      <c r="B112" s="6" t="s">
        <v>136</v>
      </c>
    </row>
    <row r="113" spans="1:2" x14ac:dyDescent="0.25">
      <c r="A113" s="5" t="s">
        <v>137</v>
      </c>
      <c r="B113" s="6" t="s">
        <v>136</v>
      </c>
    </row>
    <row r="114" spans="1:2" x14ac:dyDescent="0.25">
      <c r="A114" s="5" t="s">
        <v>138</v>
      </c>
      <c r="B114" s="6" t="s">
        <v>136</v>
      </c>
    </row>
    <row r="115" spans="1:2" x14ac:dyDescent="0.25">
      <c r="A115" s="5" t="s">
        <v>139</v>
      </c>
      <c r="B115" s="6" t="s">
        <v>136</v>
      </c>
    </row>
    <row r="116" spans="1:2" x14ac:dyDescent="0.25">
      <c r="A116" s="5" t="s">
        <v>140</v>
      </c>
      <c r="B116" s="6" t="s">
        <v>136</v>
      </c>
    </row>
    <row r="117" spans="1:2" x14ac:dyDescent="0.25">
      <c r="A117" s="5" t="s">
        <v>141</v>
      </c>
      <c r="B117" s="6" t="s">
        <v>136</v>
      </c>
    </row>
    <row r="118" spans="1:2" x14ac:dyDescent="0.25">
      <c r="A118" s="5" t="s">
        <v>142</v>
      </c>
      <c r="B118" s="6" t="s">
        <v>143</v>
      </c>
    </row>
    <row r="119" spans="1:2" x14ac:dyDescent="0.25">
      <c r="A119" s="5" t="s">
        <v>144</v>
      </c>
      <c r="B119" s="6" t="s">
        <v>143</v>
      </c>
    </row>
    <row r="120" spans="1:2" x14ac:dyDescent="0.25">
      <c r="A120" s="5" t="s">
        <v>145</v>
      </c>
      <c r="B120" s="6" t="s">
        <v>143</v>
      </c>
    </row>
    <row r="121" spans="1:2" x14ac:dyDescent="0.25">
      <c r="A121" s="5" t="s">
        <v>146</v>
      </c>
      <c r="B121" s="6" t="s">
        <v>147</v>
      </c>
    </row>
    <row r="122" spans="1:2" x14ac:dyDescent="0.25">
      <c r="A122" s="5" t="s">
        <v>148</v>
      </c>
      <c r="B122" s="6" t="s">
        <v>147</v>
      </c>
    </row>
    <row r="123" spans="1:2" x14ac:dyDescent="0.25">
      <c r="A123" s="5" t="s">
        <v>149</v>
      </c>
      <c r="B123" s="6" t="s">
        <v>150</v>
      </c>
    </row>
    <row r="124" spans="1:2" x14ac:dyDescent="0.25">
      <c r="A124" s="5" t="s">
        <v>151</v>
      </c>
      <c r="B124" s="6" t="s">
        <v>150</v>
      </c>
    </row>
    <row r="125" spans="1:2" x14ac:dyDescent="0.25">
      <c r="A125" s="5" t="s">
        <v>152</v>
      </c>
      <c r="B125" s="6" t="s">
        <v>150</v>
      </c>
    </row>
    <row r="126" spans="1:2" x14ac:dyDescent="0.25">
      <c r="A126" s="5" t="s">
        <v>153</v>
      </c>
      <c r="B126" s="6" t="s">
        <v>150</v>
      </c>
    </row>
    <row r="127" spans="1:2" x14ac:dyDescent="0.25">
      <c r="A127" s="5" t="s">
        <v>154</v>
      </c>
      <c r="B127" s="6" t="s">
        <v>155</v>
      </c>
    </row>
    <row r="128" spans="1:2" x14ac:dyDescent="0.25">
      <c r="A128" s="5" t="s">
        <v>156</v>
      </c>
      <c r="B128" s="6" t="s">
        <v>155</v>
      </c>
    </row>
    <row r="129" spans="1:2" x14ac:dyDescent="0.25">
      <c r="A129" s="5" t="s">
        <v>157</v>
      </c>
      <c r="B129" s="6" t="s">
        <v>158</v>
      </c>
    </row>
    <row r="130" spans="1:2" x14ac:dyDescent="0.25">
      <c r="A130" s="5" t="s">
        <v>159</v>
      </c>
      <c r="B130" s="6" t="s">
        <v>158</v>
      </c>
    </row>
    <row r="131" spans="1:2" x14ac:dyDescent="0.25">
      <c r="A131" s="5" t="s">
        <v>160</v>
      </c>
      <c r="B131" s="6" t="s">
        <v>158</v>
      </c>
    </row>
    <row r="132" spans="1:2" x14ac:dyDescent="0.25">
      <c r="A132" s="5" t="s">
        <v>161</v>
      </c>
      <c r="B132" s="6" t="s">
        <v>158</v>
      </c>
    </row>
    <row r="133" spans="1:2" x14ac:dyDescent="0.25">
      <c r="A133" s="5" t="s">
        <v>162</v>
      </c>
      <c r="B133" s="6" t="s">
        <v>163</v>
      </c>
    </row>
    <row r="134" spans="1:2" x14ac:dyDescent="0.25">
      <c r="A134" s="5" t="s">
        <v>164</v>
      </c>
      <c r="B134" s="6" t="s">
        <v>163</v>
      </c>
    </row>
    <row r="135" spans="1:2" x14ac:dyDescent="0.25">
      <c r="A135" s="5" t="s">
        <v>165</v>
      </c>
      <c r="B135" s="6" t="s">
        <v>163</v>
      </c>
    </row>
    <row r="136" spans="1:2" x14ac:dyDescent="0.25">
      <c r="A136" s="5" t="s">
        <v>166</v>
      </c>
      <c r="B136" s="6" t="s">
        <v>163</v>
      </c>
    </row>
    <row r="137" spans="1:2" x14ac:dyDescent="0.25">
      <c r="A137" s="5" t="s">
        <v>167</v>
      </c>
      <c r="B137" s="6" t="s">
        <v>163</v>
      </c>
    </row>
    <row r="138" spans="1:2" x14ac:dyDescent="0.25">
      <c r="A138" s="5" t="s">
        <v>168</v>
      </c>
      <c r="B138" s="6" t="s">
        <v>163</v>
      </c>
    </row>
    <row r="139" spans="1:2" x14ac:dyDescent="0.25">
      <c r="A139" s="5" t="s">
        <v>169</v>
      </c>
      <c r="B139" s="6" t="s">
        <v>163</v>
      </c>
    </row>
    <row r="140" spans="1:2" x14ac:dyDescent="0.25">
      <c r="A140" s="5" t="s">
        <v>170</v>
      </c>
      <c r="B140" s="6" t="s">
        <v>163</v>
      </c>
    </row>
    <row r="141" spans="1:2" x14ac:dyDescent="0.25">
      <c r="A141" s="5" t="s">
        <v>171</v>
      </c>
      <c r="B141" s="6" t="s">
        <v>172</v>
      </c>
    </row>
    <row r="142" spans="1:2" x14ac:dyDescent="0.25">
      <c r="A142" s="5" t="s">
        <v>173</v>
      </c>
      <c r="B142" s="6" t="s">
        <v>172</v>
      </c>
    </row>
    <row r="143" spans="1:2" x14ac:dyDescent="0.25">
      <c r="A143" s="5" t="s">
        <v>174</v>
      </c>
      <c r="B143" s="6" t="s">
        <v>172</v>
      </c>
    </row>
    <row r="144" spans="1:2" x14ac:dyDescent="0.25">
      <c r="A144" s="5" t="s">
        <v>175</v>
      </c>
      <c r="B144" s="6" t="s">
        <v>172</v>
      </c>
    </row>
    <row r="145" spans="1:2" x14ac:dyDescent="0.25">
      <c r="A145" s="5" t="s">
        <v>176</v>
      </c>
      <c r="B145" s="6" t="s">
        <v>172</v>
      </c>
    </row>
    <row r="146" spans="1:2" x14ac:dyDescent="0.25">
      <c r="A146" s="5" t="s">
        <v>177</v>
      </c>
      <c r="B146" s="6" t="s">
        <v>172</v>
      </c>
    </row>
    <row r="147" spans="1:2" x14ac:dyDescent="0.25">
      <c r="A147" s="5" t="s">
        <v>178</v>
      </c>
      <c r="B147" s="6" t="s">
        <v>172</v>
      </c>
    </row>
    <row r="148" spans="1:2" x14ac:dyDescent="0.25">
      <c r="A148" s="5" t="s">
        <v>179</v>
      </c>
      <c r="B148" s="6" t="s">
        <v>172</v>
      </c>
    </row>
    <row r="149" spans="1:2" x14ac:dyDescent="0.25">
      <c r="A149" s="5" t="s">
        <v>180</v>
      </c>
      <c r="B149" s="6" t="s">
        <v>172</v>
      </c>
    </row>
    <row r="150" spans="1:2" x14ac:dyDescent="0.25">
      <c r="A150" s="5" t="s">
        <v>181</v>
      </c>
      <c r="B150" s="6" t="s">
        <v>172</v>
      </c>
    </row>
    <row r="151" spans="1:2" x14ac:dyDescent="0.25">
      <c r="A151" s="5" t="s">
        <v>182</v>
      </c>
      <c r="B151" s="6" t="s">
        <v>172</v>
      </c>
    </row>
    <row r="152" spans="1:2" x14ac:dyDescent="0.25">
      <c r="A152" s="5" t="s">
        <v>183</v>
      </c>
      <c r="B152" s="6" t="s">
        <v>172</v>
      </c>
    </row>
    <row r="153" spans="1:2" x14ac:dyDescent="0.25">
      <c r="A153" s="5" t="s">
        <v>184</v>
      </c>
      <c r="B153" s="6" t="s">
        <v>172</v>
      </c>
    </row>
    <row r="154" spans="1:2" x14ac:dyDescent="0.25">
      <c r="A154" s="5" t="s">
        <v>185</v>
      </c>
      <c r="B154" s="6" t="s">
        <v>186</v>
      </c>
    </row>
    <row r="155" spans="1:2" x14ac:dyDescent="0.25">
      <c r="A155" s="5" t="s">
        <v>187</v>
      </c>
      <c r="B155" s="6" t="s">
        <v>186</v>
      </c>
    </row>
    <row r="156" spans="1:2" x14ac:dyDescent="0.25">
      <c r="A156" s="5" t="s">
        <v>188</v>
      </c>
      <c r="B156" s="6" t="s">
        <v>186</v>
      </c>
    </row>
    <row r="157" spans="1:2" x14ac:dyDescent="0.25">
      <c r="A157" s="5" t="s">
        <v>189</v>
      </c>
      <c r="B157" s="6" t="s">
        <v>186</v>
      </c>
    </row>
    <row r="158" spans="1:2" x14ac:dyDescent="0.25">
      <c r="A158" s="5" t="s">
        <v>190</v>
      </c>
      <c r="B158" s="6" t="s">
        <v>186</v>
      </c>
    </row>
    <row r="159" spans="1:2" x14ac:dyDescent="0.25">
      <c r="A159" s="5" t="s">
        <v>191</v>
      </c>
      <c r="B159" s="6" t="s">
        <v>186</v>
      </c>
    </row>
    <row r="160" spans="1:2" x14ac:dyDescent="0.25">
      <c r="A160" s="5" t="s">
        <v>192</v>
      </c>
      <c r="B160" s="6" t="s">
        <v>186</v>
      </c>
    </row>
    <row r="161" spans="1:2" x14ac:dyDescent="0.25">
      <c r="A161" s="5" t="s">
        <v>193</v>
      </c>
      <c r="B161" s="6" t="s">
        <v>186</v>
      </c>
    </row>
    <row r="162" spans="1:2" x14ac:dyDescent="0.25">
      <c r="A162" s="5" t="s">
        <v>194</v>
      </c>
      <c r="B162" s="6" t="s">
        <v>186</v>
      </c>
    </row>
    <row r="163" spans="1:2" x14ac:dyDescent="0.25">
      <c r="A163" s="5" t="s">
        <v>195</v>
      </c>
      <c r="B163" s="6" t="s">
        <v>186</v>
      </c>
    </row>
    <row r="164" spans="1:2" x14ac:dyDescent="0.25">
      <c r="A164" s="5" t="s">
        <v>196</v>
      </c>
      <c r="B164" s="6" t="s">
        <v>186</v>
      </c>
    </row>
    <row r="165" spans="1:2" x14ac:dyDescent="0.25">
      <c r="A165" s="5" t="s">
        <v>197</v>
      </c>
      <c r="B165" s="6" t="s">
        <v>198</v>
      </c>
    </row>
    <row r="166" spans="1:2" x14ac:dyDescent="0.25">
      <c r="A166" s="5" t="s">
        <v>199</v>
      </c>
      <c r="B166" s="6" t="s">
        <v>198</v>
      </c>
    </row>
    <row r="167" spans="1:2" x14ac:dyDescent="0.25">
      <c r="A167" s="5" t="s">
        <v>200</v>
      </c>
      <c r="B167" s="6" t="s">
        <v>198</v>
      </c>
    </row>
    <row r="168" spans="1:2" x14ac:dyDescent="0.25">
      <c r="A168" s="5" t="s">
        <v>201</v>
      </c>
      <c r="B168" s="6" t="s">
        <v>198</v>
      </c>
    </row>
    <row r="169" spans="1:2" x14ac:dyDescent="0.25">
      <c r="A169" s="5" t="s">
        <v>202</v>
      </c>
      <c r="B169" s="6" t="s">
        <v>198</v>
      </c>
    </row>
    <row r="170" spans="1:2" x14ac:dyDescent="0.25">
      <c r="A170" s="5" t="s">
        <v>203</v>
      </c>
      <c r="B170" s="6" t="s">
        <v>198</v>
      </c>
    </row>
    <row r="171" spans="1:2" x14ac:dyDescent="0.25">
      <c r="A171" s="5" t="s">
        <v>204</v>
      </c>
      <c r="B171" s="6" t="s">
        <v>198</v>
      </c>
    </row>
    <row r="172" spans="1:2" x14ac:dyDescent="0.25">
      <c r="A172" s="5" t="s">
        <v>205</v>
      </c>
      <c r="B172" s="6" t="s">
        <v>206</v>
      </c>
    </row>
    <row r="173" spans="1:2" x14ac:dyDescent="0.25">
      <c r="A173" s="7" t="s">
        <v>207</v>
      </c>
      <c r="B173" s="6" t="s">
        <v>206</v>
      </c>
    </row>
    <row r="174" spans="1:2" x14ac:dyDescent="0.25">
      <c r="A174" s="7" t="s">
        <v>208</v>
      </c>
      <c r="B174" s="6" t="s">
        <v>206</v>
      </c>
    </row>
    <row r="175" spans="1:2" x14ac:dyDescent="0.25">
      <c r="A175" s="7" t="s">
        <v>209</v>
      </c>
      <c r="B175" s="6" t="s">
        <v>206</v>
      </c>
    </row>
    <row r="176" spans="1:2" x14ac:dyDescent="0.25">
      <c r="A176" s="7" t="s">
        <v>210</v>
      </c>
      <c r="B176" s="6" t="s">
        <v>206</v>
      </c>
    </row>
    <row r="177" spans="1:2" x14ac:dyDescent="0.25">
      <c r="A177" s="7" t="s">
        <v>211</v>
      </c>
      <c r="B177" s="6" t="s">
        <v>206</v>
      </c>
    </row>
    <row r="178" spans="1:2" x14ac:dyDescent="0.25">
      <c r="A178" s="7" t="s">
        <v>212</v>
      </c>
      <c r="B178" s="8" t="s">
        <v>206</v>
      </c>
    </row>
    <row r="179" spans="1:2" x14ac:dyDescent="0.25">
      <c r="A179" s="7" t="s">
        <v>213</v>
      </c>
      <c r="B179" s="8" t="s">
        <v>214</v>
      </c>
    </row>
    <row r="180" spans="1:2" x14ac:dyDescent="0.25">
      <c r="A180" s="7" t="s">
        <v>215</v>
      </c>
      <c r="B180" s="8" t="s">
        <v>216</v>
      </c>
    </row>
    <row r="181" spans="1:2" x14ac:dyDescent="0.25">
      <c r="A181" s="7" t="s">
        <v>217</v>
      </c>
      <c r="B181" s="8" t="s">
        <v>218</v>
      </c>
    </row>
    <row r="182" spans="1:2" x14ac:dyDescent="0.25">
      <c r="A182" s="7" t="s">
        <v>219</v>
      </c>
      <c r="B182" s="8" t="s">
        <v>220</v>
      </c>
    </row>
    <row r="183" spans="1:2" x14ac:dyDescent="0.25">
      <c r="A183" s="9" t="s">
        <v>221</v>
      </c>
      <c r="B183" s="10" t="s">
        <v>222</v>
      </c>
    </row>
    <row r="184" spans="1:2" x14ac:dyDescent="0.25">
      <c r="A184" s="11" t="s">
        <v>223</v>
      </c>
      <c r="B184" s="12" t="s">
        <v>288</v>
      </c>
    </row>
    <row r="185" spans="1:2" x14ac:dyDescent="0.25">
      <c r="A185" s="13" t="s">
        <v>224</v>
      </c>
      <c r="B185" s="12" t="s">
        <v>288</v>
      </c>
    </row>
    <row r="186" spans="1:2" x14ac:dyDescent="0.25">
      <c r="A186" s="13" t="s">
        <v>225</v>
      </c>
      <c r="B186" s="12" t="s">
        <v>288</v>
      </c>
    </row>
    <row r="187" spans="1:2" x14ac:dyDescent="0.25">
      <c r="A187" s="13" t="s">
        <v>226</v>
      </c>
      <c r="B187" s="12" t="s">
        <v>288</v>
      </c>
    </row>
    <row r="188" spans="1:2" x14ac:dyDescent="0.25">
      <c r="A188" s="13" t="s">
        <v>227</v>
      </c>
      <c r="B188" s="12" t="s">
        <v>288</v>
      </c>
    </row>
    <row r="189" spans="1:2" x14ac:dyDescent="0.25">
      <c r="A189" s="13" t="s">
        <v>228</v>
      </c>
      <c r="B189" s="12" t="s">
        <v>288</v>
      </c>
    </row>
    <row r="190" spans="1:2" x14ac:dyDescent="0.25">
      <c r="A190" s="13" t="s">
        <v>229</v>
      </c>
      <c r="B190" s="12" t="s">
        <v>288</v>
      </c>
    </row>
    <row r="191" spans="1:2" x14ac:dyDescent="0.25">
      <c r="A191" s="13" t="s">
        <v>230</v>
      </c>
      <c r="B191" s="12" t="s">
        <v>288</v>
      </c>
    </row>
    <row r="192" spans="1:2" x14ac:dyDescent="0.25">
      <c r="A192" s="13" t="s">
        <v>231</v>
      </c>
      <c r="B192" s="12" t="s">
        <v>288</v>
      </c>
    </row>
    <row r="193" spans="1:2" x14ac:dyDescent="0.25">
      <c r="A193" s="13" t="s">
        <v>232</v>
      </c>
      <c r="B193" s="12" t="s">
        <v>288</v>
      </c>
    </row>
    <row r="194" spans="1:2" x14ac:dyDescent="0.25">
      <c r="A194" s="13" t="s">
        <v>233</v>
      </c>
      <c r="B194" s="12" t="s">
        <v>288</v>
      </c>
    </row>
    <row r="195" spans="1:2" x14ac:dyDescent="0.25">
      <c r="A195" s="13" t="s">
        <v>234</v>
      </c>
      <c r="B195" s="12" t="s">
        <v>288</v>
      </c>
    </row>
    <row r="196" spans="1:2" x14ac:dyDescent="0.25">
      <c r="A196" s="13" t="s">
        <v>235</v>
      </c>
      <c r="B196" s="12" t="s">
        <v>288</v>
      </c>
    </row>
    <row r="197" spans="1:2" x14ac:dyDescent="0.25">
      <c r="A197" s="13" t="s">
        <v>236</v>
      </c>
      <c r="B197" s="12" t="s">
        <v>288</v>
      </c>
    </row>
    <row r="198" spans="1:2" x14ac:dyDescent="0.25">
      <c r="A198" s="13" t="s">
        <v>237</v>
      </c>
      <c r="B198" s="12" t="s">
        <v>288</v>
      </c>
    </row>
    <row r="199" spans="1:2" x14ac:dyDescent="0.25">
      <c r="A199" s="13" t="s">
        <v>238</v>
      </c>
      <c r="B199" s="12" t="s">
        <v>288</v>
      </c>
    </row>
    <row r="200" spans="1:2" x14ac:dyDescent="0.25">
      <c r="A200" s="13" t="s">
        <v>239</v>
      </c>
      <c r="B200" s="12" t="s">
        <v>288</v>
      </c>
    </row>
    <row r="201" spans="1:2" x14ac:dyDescent="0.25">
      <c r="A201" s="13" t="s">
        <v>240</v>
      </c>
      <c r="B201" s="12" t="s">
        <v>288</v>
      </c>
    </row>
    <row r="202" spans="1:2" x14ac:dyDescent="0.25">
      <c r="A202" s="13" t="s">
        <v>241</v>
      </c>
      <c r="B202" s="12" t="s">
        <v>288</v>
      </c>
    </row>
    <row r="203" spans="1:2" x14ac:dyDescent="0.25">
      <c r="A203" s="13" t="s">
        <v>242</v>
      </c>
      <c r="B203" s="12" t="s">
        <v>288</v>
      </c>
    </row>
    <row r="204" spans="1:2" x14ac:dyDescent="0.25">
      <c r="A204" s="13" t="s">
        <v>243</v>
      </c>
      <c r="B204" s="12" t="s">
        <v>288</v>
      </c>
    </row>
    <row r="205" spans="1:2" x14ac:dyDescent="0.25">
      <c r="A205" s="13" t="s">
        <v>244</v>
      </c>
      <c r="B205" s="12" t="s">
        <v>288</v>
      </c>
    </row>
    <row r="206" spans="1:2" x14ac:dyDescent="0.25">
      <c r="A206" s="13" t="s">
        <v>245</v>
      </c>
      <c r="B206" s="12" t="s">
        <v>288</v>
      </c>
    </row>
    <row r="207" spans="1:2" x14ac:dyDescent="0.25">
      <c r="A207" s="13" t="s">
        <v>246</v>
      </c>
      <c r="B207" s="12" t="s">
        <v>288</v>
      </c>
    </row>
    <row r="208" spans="1:2" x14ac:dyDescent="0.25">
      <c r="A208" s="13" t="s">
        <v>247</v>
      </c>
      <c r="B208" s="12" t="s">
        <v>288</v>
      </c>
    </row>
    <row r="209" spans="1:2" x14ac:dyDescent="0.25">
      <c r="A209" s="13" t="s">
        <v>248</v>
      </c>
      <c r="B209" s="12" t="s">
        <v>288</v>
      </c>
    </row>
    <row r="210" spans="1:2" x14ac:dyDescent="0.25">
      <c r="A210" s="13" t="s">
        <v>249</v>
      </c>
      <c r="B210" s="12" t="s">
        <v>288</v>
      </c>
    </row>
    <row r="211" spans="1:2" x14ac:dyDescent="0.25">
      <c r="A211" s="13" t="s">
        <v>250</v>
      </c>
      <c r="B211" s="12" t="s">
        <v>288</v>
      </c>
    </row>
    <row r="212" spans="1:2" x14ac:dyDescent="0.25">
      <c r="A212" s="13" t="s">
        <v>251</v>
      </c>
      <c r="B212" s="12" t="s">
        <v>288</v>
      </c>
    </row>
    <row r="213" spans="1:2" x14ac:dyDescent="0.25">
      <c r="A213" s="13" t="s">
        <v>252</v>
      </c>
      <c r="B213" s="12" t="s">
        <v>288</v>
      </c>
    </row>
    <row r="214" spans="1:2" x14ac:dyDescent="0.25">
      <c r="A214" s="13" t="s">
        <v>253</v>
      </c>
      <c r="B214" s="12" t="s">
        <v>288</v>
      </c>
    </row>
    <row r="215" spans="1:2" x14ac:dyDescent="0.25">
      <c r="A215" s="13" t="s">
        <v>254</v>
      </c>
      <c r="B215" s="12" t="s">
        <v>288</v>
      </c>
    </row>
    <row r="216" spans="1:2" x14ac:dyDescent="0.25">
      <c r="A216" s="13" t="s">
        <v>255</v>
      </c>
      <c r="B216" s="12" t="s">
        <v>288</v>
      </c>
    </row>
    <row r="217" spans="1:2" x14ac:dyDescent="0.25">
      <c r="A217" s="13" t="s">
        <v>256</v>
      </c>
      <c r="B217" s="12" t="s">
        <v>288</v>
      </c>
    </row>
    <row r="218" spans="1:2" x14ac:dyDescent="0.25">
      <c r="A218" s="13" t="s">
        <v>257</v>
      </c>
      <c r="B218" s="12" t="s">
        <v>288</v>
      </c>
    </row>
    <row r="219" spans="1:2" x14ac:dyDescent="0.25">
      <c r="A219" s="13" t="s">
        <v>258</v>
      </c>
      <c r="B219" s="12" t="s">
        <v>288</v>
      </c>
    </row>
    <row r="220" spans="1:2" x14ac:dyDescent="0.25">
      <c r="A220" s="13" t="s">
        <v>259</v>
      </c>
      <c r="B220" s="12" t="s">
        <v>288</v>
      </c>
    </row>
    <row r="221" spans="1:2" x14ac:dyDescent="0.25">
      <c r="A221" s="13" t="s">
        <v>260</v>
      </c>
      <c r="B221" s="12" t="s">
        <v>288</v>
      </c>
    </row>
    <row r="222" spans="1:2" x14ac:dyDescent="0.25">
      <c r="A222" s="13" t="s">
        <v>261</v>
      </c>
      <c r="B222" s="12" t="s">
        <v>288</v>
      </c>
    </row>
    <row r="223" spans="1:2" x14ac:dyDescent="0.25">
      <c r="A223" s="13" t="s">
        <v>262</v>
      </c>
      <c r="B223" s="12" t="s">
        <v>288</v>
      </c>
    </row>
    <row r="224" spans="1:2" x14ac:dyDescent="0.25">
      <c r="A224" s="13" t="s">
        <v>263</v>
      </c>
      <c r="B224" s="12" t="s">
        <v>288</v>
      </c>
    </row>
    <row r="225" spans="1:2" x14ac:dyDescent="0.25">
      <c r="A225" s="13" t="s">
        <v>264</v>
      </c>
      <c r="B225" s="12" t="s">
        <v>288</v>
      </c>
    </row>
    <row r="226" spans="1:2" x14ac:dyDescent="0.25">
      <c r="A226" s="13" t="s">
        <v>265</v>
      </c>
      <c r="B226" s="12" t="s">
        <v>288</v>
      </c>
    </row>
    <row r="227" spans="1:2" x14ac:dyDescent="0.25">
      <c r="A227" s="13" t="s">
        <v>266</v>
      </c>
      <c r="B227" s="12" t="s">
        <v>288</v>
      </c>
    </row>
    <row r="228" spans="1:2" x14ac:dyDescent="0.25">
      <c r="A228" s="13" t="s">
        <v>267</v>
      </c>
      <c r="B228" s="12" t="s">
        <v>288</v>
      </c>
    </row>
    <row r="229" spans="1:2" x14ac:dyDescent="0.25">
      <c r="A229" s="13" t="s">
        <v>268</v>
      </c>
      <c r="B229" s="12" t="s">
        <v>288</v>
      </c>
    </row>
    <row r="230" spans="1:2" x14ac:dyDescent="0.25">
      <c r="A230" s="13" t="s">
        <v>269</v>
      </c>
      <c r="B230" s="12" t="s">
        <v>288</v>
      </c>
    </row>
    <row r="231" spans="1:2" x14ac:dyDescent="0.25">
      <c r="A231" s="13" t="s">
        <v>270</v>
      </c>
      <c r="B231" s="12" t="s">
        <v>288</v>
      </c>
    </row>
    <row r="232" spans="1:2" x14ac:dyDescent="0.25">
      <c r="A232" s="13" t="s">
        <v>271</v>
      </c>
      <c r="B232" s="12" t="s">
        <v>288</v>
      </c>
    </row>
    <row r="233" spans="1:2" x14ac:dyDescent="0.25">
      <c r="A233" s="13" t="s">
        <v>272</v>
      </c>
      <c r="B233" s="12" t="s">
        <v>288</v>
      </c>
    </row>
    <row r="234" spans="1:2" x14ac:dyDescent="0.25">
      <c r="A234" s="13" t="s">
        <v>273</v>
      </c>
      <c r="B234" s="12" t="s">
        <v>288</v>
      </c>
    </row>
    <row r="235" spans="1:2" x14ac:dyDescent="0.25">
      <c r="A235" s="13" t="s">
        <v>274</v>
      </c>
      <c r="B235" s="12" t="s">
        <v>288</v>
      </c>
    </row>
    <row r="236" spans="1:2" x14ac:dyDescent="0.25">
      <c r="A236" s="13" t="s">
        <v>275</v>
      </c>
      <c r="B236" s="12" t="s">
        <v>288</v>
      </c>
    </row>
    <row r="237" spans="1:2" x14ac:dyDescent="0.25">
      <c r="A237" s="13" t="s">
        <v>276</v>
      </c>
      <c r="B237" s="12" t="s">
        <v>288</v>
      </c>
    </row>
    <row r="238" spans="1:2" x14ac:dyDescent="0.25">
      <c r="A238" s="13" t="s">
        <v>277</v>
      </c>
      <c r="B238" s="12" t="s">
        <v>288</v>
      </c>
    </row>
    <row r="239" spans="1:2" x14ac:dyDescent="0.25">
      <c r="A239" s="13" t="s">
        <v>278</v>
      </c>
      <c r="B239" s="12" t="s">
        <v>288</v>
      </c>
    </row>
    <row r="240" spans="1:2" x14ac:dyDescent="0.25">
      <c r="A240" s="13" t="s">
        <v>279</v>
      </c>
      <c r="B240" s="12" t="s">
        <v>288</v>
      </c>
    </row>
    <row r="241" spans="1:2" x14ac:dyDescent="0.25">
      <c r="A241" s="13" t="s">
        <v>280</v>
      </c>
      <c r="B241" s="12" t="s">
        <v>288</v>
      </c>
    </row>
    <row r="242" spans="1:2" x14ac:dyDescent="0.25">
      <c r="A242" s="13" t="s">
        <v>281</v>
      </c>
      <c r="B242" s="12" t="s">
        <v>288</v>
      </c>
    </row>
    <row r="243" spans="1:2" x14ac:dyDescent="0.25">
      <c r="A243" s="13" t="s">
        <v>282</v>
      </c>
      <c r="B243" s="12" t="s">
        <v>288</v>
      </c>
    </row>
    <row r="244" spans="1:2" x14ac:dyDescent="0.25">
      <c r="A244" s="13" t="s">
        <v>283</v>
      </c>
      <c r="B244" s="12" t="s">
        <v>288</v>
      </c>
    </row>
    <row r="245" spans="1:2" x14ac:dyDescent="0.25">
      <c r="A245" s="13" t="s">
        <v>284</v>
      </c>
      <c r="B245" s="12" t="s">
        <v>288</v>
      </c>
    </row>
    <row r="246" spans="1:2" x14ac:dyDescent="0.25">
      <c r="A246" s="13" t="s">
        <v>285</v>
      </c>
      <c r="B246" s="12" t="s">
        <v>288</v>
      </c>
    </row>
    <row r="247" spans="1:2" x14ac:dyDescent="0.25">
      <c r="A247" s="13" t="s">
        <v>286</v>
      </c>
      <c r="B247" s="12" t="s">
        <v>288</v>
      </c>
    </row>
    <row r="248" spans="1:2" x14ac:dyDescent="0.25">
      <c r="A248" s="13" t="s">
        <v>287</v>
      </c>
      <c r="B248" s="12" t="s">
        <v>288</v>
      </c>
    </row>
    <row r="249" spans="1:2" x14ac:dyDescent="0.25">
      <c r="A249" s="13" t="s">
        <v>288</v>
      </c>
      <c r="B249" s="12" t="s">
        <v>288</v>
      </c>
    </row>
    <row r="250" spans="1:2" x14ac:dyDescent="0.25">
      <c r="A250" s="13">
        <v>0</v>
      </c>
      <c r="B250" s="12" t="s">
        <v>288</v>
      </c>
    </row>
    <row r="251" spans="1:2" x14ac:dyDescent="0.25">
      <c r="A251" s="13">
        <v>33</v>
      </c>
      <c r="B251" s="12" t="s">
        <v>288</v>
      </c>
    </row>
    <row r="252" spans="1:2" x14ac:dyDescent="0.25">
      <c r="A252" s="13">
        <v>81</v>
      </c>
      <c r="B252" s="12" t="s">
        <v>288</v>
      </c>
    </row>
    <row r="253" spans="1:2" x14ac:dyDescent="0.25">
      <c r="A253" s="13">
        <v>82</v>
      </c>
      <c r="B253" s="12" t="s">
        <v>288</v>
      </c>
    </row>
    <row r="254" spans="1:2" x14ac:dyDescent="0.25">
      <c r="A254" s="13">
        <v>91</v>
      </c>
      <c r="B254" s="12" t="s">
        <v>288</v>
      </c>
    </row>
    <row r="255" spans="1:2" x14ac:dyDescent="0.25">
      <c r="A255" s="13">
        <v>92</v>
      </c>
      <c r="B255" s="12" t="s">
        <v>288</v>
      </c>
    </row>
    <row r="256" spans="1:2" x14ac:dyDescent="0.25">
      <c r="A256" s="13">
        <v>94</v>
      </c>
      <c r="B256" s="12" t="s">
        <v>288</v>
      </c>
    </row>
    <row r="257" spans="1:3" x14ac:dyDescent="0.25">
      <c r="A257" s="13">
        <v>96</v>
      </c>
      <c r="B257" s="12" t="s">
        <v>288</v>
      </c>
    </row>
    <row r="258" spans="1:3" x14ac:dyDescent="0.25">
      <c r="A258" s="13">
        <v>98</v>
      </c>
      <c r="B258" s="12" t="s">
        <v>288</v>
      </c>
    </row>
    <row r="259" spans="1:3" x14ac:dyDescent="0.25">
      <c r="A259" s="13">
        <v>99</v>
      </c>
      <c r="B259" s="12" t="s">
        <v>288</v>
      </c>
    </row>
    <row r="260" spans="1:3" x14ac:dyDescent="0.25">
      <c r="A260" s="13">
        <v>901</v>
      </c>
      <c r="B260" s="12" t="s">
        <v>288</v>
      </c>
    </row>
    <row r="261" spans="1:3" x14ac:dyDescent="0.25">
      <c r="A261" s="13">
        <v>911</v>
      </c>
      <c r="B261" s="12" t="s">
        <v>288</v>
      </c>
    </row>
    <row r="262" spans="1:3" x14ac:dyDescent="0.25">
      <c r="A262" s="13">
        <v>950</v>
      </c>
      <c r="B262" s="12" t="s">
        <v>288</v>
      </c>
    </row>
    <row r="263" spans="1:3" x14ac:dyDescent="0.25">
      <c r="A263" s="14">
        <v>971</v>
      </c>
      <c r="B263" s="12" t="s">
        <v>288</v>
      </c>
    </row>
    <row r="264" spans="1:3" s="46" customFormat="1" x14ac:dyDescent="0.25">
      <c r="A264" s="14" t="s">
        <v>336</v>
      </c>
      <c r="B264" s="12" t="s">
        <v>288</v>
      </c>
    </row>
    <row r="265" spans="1:3" s="81" customFormat="1" x14ac:dyDescent="0.25">
      <c r="A265" s="14" t="s">
        <v>456</v>
      </c>
      <c r="B265" s="12" t="s">
        <v>288</v>
      </c>
    </row>
    <row r="266" spans="1:3" s="81" customFormat="1" x14ac:dyDescent="0.25">
      <c r="A266" s="82" t="s">
        <v>598</v>
      </c>
      <c r="B266" s="83" t="s">
        <v>12</v>
      </c>
      <c r="C266" s="84" t="s">
        <v>891</v>
      </c>
    </row>
    <row r="267" spans="1:3" s="81" customFormat="1" x14ac:dyDescent="0.25">
      <c r="A267" s="82" t="s">
        <v>600</v>
      </c>
      <c r="B267" s="83" t="s">
        <v>12</v>
      </c>
      <c r="C267" s="84" t="s">
        <v>891</v>
      </c>
    </row>
    <row r="268" spans="1:3" x14ac:dyDescent="0.25">
      <c r="A268" s="14" t="s">
        <v>296</v>
      </c>
      <c r="B268" s="12" t="s">
        <v>288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37"/>
  <sheetViews>
    <sheetView showGridLines="0" workbookViewId="0"/>
  </sheetViews>
  <sheetFormatPr defaultRowHeight="15" x14ac:dyDescent="0.25"/>
  <cols>
    <col min="1" max="1" width="13.140625" style="54" bestFit="1" customWidth="1"/>
    <col min="2" max="2" width="10.42578125" bestFit="1" customWidth="1"/>
    <col min="3" max="3" width="59" bestFit="1" customWidth="1"/>
    <col min="4" max="4" width="11.5703125" bestFit="1" customWidth="1"/>
    <col min="5" max="5" width="28" bestFit="1" customWidth="1"/>
    <col min="6" max="6" width="11.28515625" bestFit="1" customWidth="1"/>
    <col min="7" max="7" width="20.85546875" bestFit="1" customWidth="1"/>
    <col min="8" max="8" width="11.42578125" bestFit="1" customWidth="1"/>
    <col min="9" max="9" width="34.140625" bestFit="1" customWidth="1"/>
    <col min="10" max="10" width="10" bestFit="1" customWidth="1"/>
    <col min="11" max="11" width="16.7109375" bestFit="1" customWidth="1"/>
  </cols>
  <sheetData>
    <row r="1" spans="1:11" s="54" customFormat="1" x14ac:dyDescent="0.25">
      <c r="B1" s="53" t="s">
        <v>860</v>
      </c>
    </row>
    <row r="2" spans="1:11" x14ac:dyDescent="0.25">
      <c r="A2" s="15" t="s">
        <v>859</v>
      </c>
      <c r="B2" s="57" t="s">
        <v>415</v>
      </c>
      <c r="C2" s="57" t="s">
        <v>858</v>
      </c>
      <c r="D2" s="57" t="s">
        <v>416</v>
      </c>
      <c r="E2" s="57" t="s">
        <v>857</v>
      </c>
      <c r="F2" s="57" t="s">
        <v>417</v>
      </c>
      <c r="G2" s="57" t="s">
        <v>856</v>
      </c>
      <c r="H2" s="57" t="s">
        <v>418</v>
      </c>
      <c r="I2" s="57" t="s">
        <v>855</v>
      </c>
      <c r="J2" s="57" t="s">
        <v>419</v>
      </c>
      <c r="K2" s="57" t="s">
        <v>420</v>
      </c>
    </row>
    <row r="3" spans="1:11" x14ac:dyDescent="0.25">
      <c r="A3" s="55" t="str">
        <f>D3&amp;F3&amp;H3</f>
        <v>009590000105</v>
      </c>
      <c r="B3" s="58" t="s">
        <v>421</v>
      </c>
      <c r="C3" s="59" t="s">
        <v>422</v>
      </c>
      <c r="D3" s="58" t="s">
        <v>423</v>
      </c>
      <c r="E3" s="59" t="s">
        <v>422</v>
      </c>
      <c r="F3" s="58" t="s">
        <v>424</v>
      </c>
      <c r="G3" s="59" t="s">
        <v>425</v>
      </c>
      <c r="H3" s="58" t="s">
        <v>426</v>
      </c>
      <c r="I3" s="59" t="s">
        <v>427</v>
      </c>
      <c r="J3" s="58" t="s">
        <v>428</v>
      </c>
      <c r="K3" s="58" t="s">
        <v>429</v>
      </c>
    </row>
    <row r="4" spans="1:11" x14ac:dyDescent="0.25">
      <c r="A4" s="55" t="str">
        <f t="shared" ref="A4:A67" si="0">D4&amp;F4&amp;H4</f>
        <v>009690000105</v>
      </c>
      <c r="B4" s="58" t="s">
        <v>430</v>
      </c>
      <c r="C4" s="59" t="s">
        <v>422</v>
      </c>
      <c r="D4" s="58" t="s">
        <v>431</v>
      </c>
      <c r="E4" s="59" t="s">
        <v>432</v>
      </c>
      <c r="F4" s="58" t="s">
        <v>424</v>
      </c>
      <c r="G4" s="59" t="s">
        <v>425</v>
      </c>
      <c r="H4" s="58" t="s">
        <v>426</v>
      </c>
      <c r="I4" s="59" t="s">
        <v>427</v>
      </c>
      <c r="J4" s="58" t="s">
        <v>428</v>
      </c>
      <c r="K4" s="58" t="s">
        <v>429</v>
      </c>
    </row>
    <row r="5" spans="1:11" x14ac:dyDescent="0.25">
      <c r="A5" s="55" t="str">
        <f t="shared" si="0"/>
        <v>009790000105</v>
      </c>
      <c r="B5" s="58" t="s">
        <v>433</v>
      </c>
      <c r="C5" s="59" t="s">
        <v>434</v>
      </c>
      <c r="D5" s="58" t="s">
        <v>435</v>
      </c>
      <c r="E5" s="59" t="s">
        <v>434</v>
      </c>
      <c r="F5" s="58" t="s">
        <v>424</v>
      </c>
      <c r="G5" s="59" t="s">
        <v>425</v>
      </c>
      <c r="H5" s="58" t="s">
        <v>426</v>
      </c>
      <c r="I5" s="59" t="s">
        <v>427</v>
      </c>
      <c r="J5" s="58" t="s">
        <v>428</v>
      </c>
      <c r="K5" s="58" t="s">
        <v>429</v>
      </c>
    </row>
    <row r="6" spans="1:11" x14ac:dyDescent="0.25">
      <c r="A6" s="55" t="str">
        <f t="shared" si="0"/>
        <v>009890000105</v>
      </c>
      <c r="B6" s="58" t="s">
        <v>436</v>
      </c>
      <c r="C6" s="59" t="s">
        <v>437</v>
      </c>
      <c r="D6" s="58" t="s">
        <v>438</v>
      </c>
      <c r="E6" s="59" t="s">
        <v>437</v>
      </c>
      <c r="F6" s="58" t="s">
        <v>424</v>
      </c>
      <c r="G6" s="59" t="s">
        <v>425</v>
      </c>
      <c r="H6" s="58" t="s">
        <v>426</v>
      </c>
      <c r="I6" s="59" t="s">
        <v>427</v>
      </c>
      <c r="J6" s="58" t="s">
        <v>428</v>
      </c>
      <c r="K6" s="58" t="s">
        <v>429</v>
      </c>
    </row>
    <row r="7" spans="1:11" x14ac:dyDescent="0.25">
      <c r="A7" s="55" t="str">
        <f t="shared" si="0"/>
        <v>001110100019</v>
      </c>
      <c r="B7" s="58" t="s">
        <v>137</v>
      </c>
      <c r="C7" s="59" t="s">
        <v>439</v>
      </c>
      <c r="D7" s="58" t="s">
        <v>387</v>
      </c>
      <c r="E7" s="59" t="s">
        <v>440</v>
      </c>
      <c r="F7" s="58" t="s">
        <v>389</v>
      </c>
      <c r="G7" s="59" t="s">
        <v>441</v>
      </c>
      <c r="H7" s="58" t="s">
        <v>406</v>
      </c>
      <c r="I7" s="59" t="s">
        <v>442</v>
      </c>
      <c r="J7" s="58" t="s">
        <v>428</v>
      </c>
      <c r="K7" s="58" t="s">
        <v>429</v>
      </c>
    </row>
    <row r="8" spans="1:11" x14ac:dyDescent="0.25">
      <c r="A8" s="55" t="str">
        <f t="shared" si="0"/>
        <v>001110040019</v>
      </c>
      <c r="B8" s="58" t="s">
        <v>88</v>
      </c>
      <c r="C8" s="59" t="s">
        <v>443</v>
      </c>
      <c r="D8" s="58" t="s">
        <v>387</v>
      </c>
      <c r="E8" s="59" t="s">
        <v>440</v>
      </c>
      <c r="F8" s="58" t="s">
        <v>382</v>
      </c>
      <c r="G8" s="59" t="s">
        <v>444</v>
      </c>
      <c r="H8" s="58" t="s">
        <v>406</v>
      </c>
      <c r="I8" s="59" t="s">
        <v>442</v>
      </c>
      <c r="J8" s="58" t="s">
        <v>428</v>
      </c>
      <c r="K8" s="58" t="s">
        <v>429</v>
      </c>
    </row>
    <row r="9" spans="1:11" x14ac:dyDescent="0.25">
      <c r="A9" s="55" t="str">
        <f t="shared" si="0"/>
        <v>000710100008</v>
      </c>
      <c r="B9" s="58" t="s">
        <v>445</v>
      </c>
      <c r="C9" s="59" t="s">
        <v>446</v>
      </c>
      <c r="D9" s="58" t="s">
        <v>447</v>
      </c>
      <c r="E9" s="59" t="s">
        <v>448</v>
      </c>
      <c r="F9" s="58" t="s">
        <v>389</v>
      </c>
      <c r="G9" s="59" t="s">
        <v>441</v>
      </c>
      <c r="H9" s="58" t="s">
        <v>395</v>
      </c>
      <c r="I9" s="59" t="s">
        <v>449</v>
      </c>
      <c r="J9" s="58" t="s">
        <v>428</v>
      </c>
      <c r="K9" s="58" t="s">
        <v>429</v>
      </c>
    </row>
    <row r="10" spans="1:11" x14ac:dyDescent="0.25">
      <c r="A10" s="55" t="str">
        <f t="shared" si="0"/>
        <v>000510100001</v>
      </c>
      <c r="B10" s="58" t="s">
        <v>450</v>
      </c>
      <c r="C10" s="59" t="s">
        <v>451</v>
      </c>
      <c r="D10" s="58" t="s">
        <v>452</v>
      </c>
      <c r="E10" s="59" t="s">
        <v>453</v>
      </c>
      <c r="F10" s="58" t="s">
        <v>389</v>
      </c>
      <c r="G10" s="59" t="s">
        <v>441</v>
      </c>
      <c r="H10" s="58" t="s">
        <v>454</v>
      </c>
      <c r="I10" s="59" t="s">
        <v>455</v>
      </c>
      <c r="J10" s="58" t="s">
        <v>428</v>
      </c>
      <c r="K10" s="58" t="s">
        <v>429</v>
      </c>
    </row>
    <row r="11" spans="1:11" x14ac:dyDescent="0.25">
      <c r="A11" s="55" t="str">
        <f t="shared" si="0"/>
        <v>000910100014</v>
      </c>
      <c r="B11" s="58" t="s">
        <v>456</v>
      </c>
      <c r="C11" s="59" t="s">
        <v>457</v>
      </c>
      <c r="D11" s="58" t="s">
        <v>458</v>
      </c>
      <c r="E11" s="59" t="s">
        <v>459</v>
      </c>
      <c r="F11" s="58" t="s">
        <v>389</v>
      </c>
      <c r="G11" s="59" t="s">
        <v>441</v>
      </c>
      <c r="H11" s="58" t="s">
        <v>460</v>
      </c>
      <c r="I11" s="59" t="s">
        <v>461</v>
      </c>
      <c r="J11" s="58" t="s">
        <v>428</v>
      </c>
      <c r="K11" s="58" t="s">
        <v>429</v>
      </c>
    </row>
    <row r="12" spans="1:11" x14ac:dyDescent="0.25">
      <c r="A12" s="55" t="str">
        <f t="shared" si="0"/>
        <v>000710100018</v>
      </c>
      <c r="B12" s="58" t="s">
        <v>462</v>
      </c>
      <c r="C12" s="59" t="s">
        <v>463</v>
      </c>
      <c r="D12" s="58" t="s">
        <v>447</v>
      </c>
      <c r="E12" s="59" t="s">
        <v>448</v>
      </c>
      <c r="F12" s="58" t="s">
        <v>389</v>
      </c>
      <c r="G12" s="59" t="s">
        <v>441</v>
      </c>
      <c r="H12" s="58" t="s">
        <v>464</v>
      </c>
      <c r="I12" s="59" t="s">
        <v>465</v>
      </c>
      <c r="J12" s="58" t="s">
        <v>428</v>
      </c>
      <c r="K12" s="58" t="s">
        <v>429</v>
      </c>
    </row>
    <row r="13" spans="1:11" x14ac:dyDescent="0.25">
      <c r="A13" s="55" t="str">
        <f t="shared" si="0"/>
        <v>000710020018</v>
      </c>
      <c r="B13" s="58" t="s">
        <v>336</v>
      </c>
      <c r="C13" s="59" t="s">
        <v>466</v>
      </c>
      <c r="D13" s="58" t="s">
        <v>447</v>
      </c>
      <c r="E13" s="59" t="s">
        <v>448</v>
      </c>
      <c r="F13" s="58" t="s">
        <v>380</v>
      </c>
      <c r="G13" s="59" t="s">
        <v>467</v>
      </c>
      <c r="H13" s="58" t="s">
        <v>464</v>
      </c>
      <c r="I13" s="59" t="s">
        <v>465</v>
      </c>
      <c r="J13" s="58" t="s">
        <v>328</v>
      </c>
      <c r="K13" s="58" t="s">
        <v>0</v>
      </c>
    </row>
    <row r="14" spans="1:11" x14ac:dyDescent="0.25">
      <c r="A14" s="55" t="str">
        <f t="shared" si="0"/>
        <v>000710030018</v>
      </c>
      <c r="B14" s="58" t="s">
        <v>336</v>
      </c>
      <c r="C14" s="59" t="s">
        <v>466</v>
      </c>
      <c r="D14" s="58" t="s">
        <v>447</v>
      </c>
      <c r="E14" s="59" t="s">
        <v>448</v>
      </c>
      <c r="F14" s="58" t="s">
        <v>381</v>
      </c>
      <c r="G14" s="59" t="s">
        <v>468</v>
      </c>
      <c r="H14" s="58" t="s">
        <v>464</v>
      </c>
      <c r="I14" s="59" t="s">
        <v>465</v>
      </c>
      <c r="J14" s="58" t="s">
        <v>328</v>
      </c>
      <c r="K14" s="58" t="s">
        <v>0</v>
      </c>
    </row>
    <row r="15" spans="1:11" x14ac:dyDescent="0.25">
      <c r="A15" s="55" t="str">
        <f t="shared" si="0"/>
        <v>000710040018</v>
      </c>
      <c r="B15" s="58" t="s">
        <v>336</v>
      </c>
      <c r="C15" s="59" t="s">
        <v>466</v>
      </c>
      <c r="D15" s="58" t="s">
        <v>447</v>
      </c>
      <c r="E15" s="59" t="s">
        <v>448</v>
      </c>
      <c r="F15" s="58" t="s">
        <v>382</v>
      </c>
      <c r="G15" s="59" t="s">
        <v>444</v>
      </c>
      <c r="H15" s="58" t="s">
        <v>464</v>
      </c>
      <c r="I15" s="59" t="s">
        <v>465</v>
      </c>
      <c r="J15" s="58" t="s">
        <v>328</v>
      </c>
      <c r="K15" s="58" t="s">
        <v>429</v>
      </c>
    </row>
    <row r="16" spans="1:11" x14ac:dyDescent="0.25">
      <c r="A16" s="55" t="str">
        <f t="shared" si="0"/>
        <v>000710050018</v>
      </c>
      <c r="B16" s="58" t="s">
        <v>336</v>
      </c>
      <c r="C16" s="59" t="s">
        <v>466</v>
      </c>
      <c r="D16" s="58" t="s">
        <v>447</v>
      </c>
      <c r="E16" s="59" t="s">
        <v>448</v>
      </c>
      <c r="F16" s="58" t="s">
        <v>385</v>
      </c>
      <c r="G16" s="59" t="s">
        <v>469</v>
      </c>
      <c r="H16" s="58" t="s">
        <v>464</v>
      </c>
      <c r="I16" s="59" t="s">
        <v>465</v>
      </c>
      <c r="J16" s="58" t="s">
        <v>328</v>
      </c>
      <c r="K16" s="58" t="s">
        <v>0</v>
      </c>
    </row>
    <row r="17" spans="1:11" x14ac:dyDescent="0.25">
      <c r="A17" s="55" t="str">
        <f t="shared" si="0"/>
        <v>000710060018</v>
      </c>
      <c r="B17" s="58" t="s">
        <v>336</v>
      </c>
      <c r="C17" s="59" t="s">
        <v>466</v>
      </c>
      <c r="D17" s="58" t="s">
        <v>447</v>
      </c>
      <c r="E17" s="59" t="s">
        <v>448</v>
      </c>
      <c r="F17" s="58" t="s">
        <v>386</v>
      </c>
      <c r="G17" s="59" t="s">
        <v>470</v>
      </c>
      <c r="H17" s="58" t="s">
        <v>464</v>
      </c>
      <c r="I17" s="59" t="s">
        <v>465</v>
      </c>
      <c r="J17" s="58" t="s">
        <v>328</v>
      </c>
      <c r="K17" s="58" t="s">
        <v>0</v>
      </c>
    </row>
    <row r="18" spans="1:11" x14ac:dyDescent="0.25">
      <c r="A18" s="55" t="str">
        <f t="shared" si="0"/>
        <v>000710120018</v>
      </c>
      <c r="B18" s="58" t="s">
        <v>336</v>
      </c>
      <c r="C18" s="59" t="s">
        <v>466</v>
      </c>
      <c r="D18" s="58" t="s">
        <v>447</v>
      </c>
      <c r="E18" s="59" t="s">
        <v>448</v>
      </c>
      <c r="F18" s="58" t="s">
        <v>392</v>
      </c>
      <c r="G18" s="59" t="s">
        <v>471</v>
      </c>
      <c r="H18" s="58" t="s">
        <v>464</v>
      </c>
      <c r="I18" s="59" t="s">
        <v>465</v>
      </c>
      <c r="J18" s="58" t="s">
        <v>328</v>
      </c>
      <c r="K18" s="58" t="s">
        <v>0</v>
      </c>
    </row>
    <row r="19" spans="1:11" x14ac:dyDescent="0.25">
      <c r="A19" s="55" t="str">
        <f t="shared" si="0"/>
        <v>000710130018</v>
      </c>
      <c r="B19" s="58" t="s">
        <v>336</v>
      </c>
      <c r="C19" s="59" t="s">
        <v>466</v>
      </c>
      <c r="D19" s="58" t="s">
        <v>447</v>
      </c>
      <c r="E19" s="59" t="s">
        <v>448</v>
      </c>
      <c r="F19" s="58" t="s">
        <v>393</v>
      </c>
      <c r="G19" s="59" t="s">
        <v>472</v>
      </c>
      <c r="H19" s="58" t="s">
        <v>464</v>
      </c>
      <c r="I19" s="59" t="s">
        <v>465</v>
      </c>
      <c r="J19" s="58" t="s">
        <v>328</v>
      </c>
      <c r="K19" s="58" t="s">
        <v>0</v>
      </c>
    </row>
    <row r="20" spans="1:11" x14ac:dyDescent="0.25">
      <c r="A20" s="55" t="str">
        <f t="shared" si="0"/>
        <v>002010020061</v>
      </c>
      <c r="B20" s="58" t="s">
        <v>473</v>
      </c>
      <c r="C20" s="59" t="s">
        <v>474</v>
      </c>
      <c r="D20" s="58" t="s">
        <v>397</v>
      </c>
      <c r="E20" s="59" t="s">
        <v>475</v>
      </c>
      <c r="F20" s="58" t="s">
        <v>380</v>
      </c>
      <c r="G20" s="59" t="s">
        <v>467</v>
      </c>
      <c r="H20" s="58" t="s">
        <v>476</v>
      </c>
      <c r="I20" s="59" t="s">
        <v>477</v>
      </c>
      <c r="J20" s="58" t="s">
        <v>334</v>
      </c>
      <c r="K20" s="58" t="s">
        <v>0</v>
      </c>
    </row>
    <row r="21" spans="1:11" x14ac:dyDescent="0.25">
      <c r="A21" s="55" t="str">
        <f t="shared" si="0"/>
        <v>002010030061</v>
      </c>
      <c r="B21" s="58" t="s">
        <v>473</v>
      </c>
      <c r="C21" s="59" t="s">
        <v>474</v>
      </c>
      <c r="D21" s="58" t="s">
        <v>397</v>
      </c>
      <c r="E21" s="59" t="s">
        <v>475</v>
      </c>
      <c r="F21" s="58" t="s">
        <v>381</v>
      </c>
      <c r="G21" s="59" t="s">
        <v>468</v>
      </c>
      <c r="H21" s="58" t="s">
        <v>476</v>
      </c>
      <c r="I21" s="59" t="s">
        <v>477</v>
      </c>
      <c r="J21" s="58" t="s">
        <v>334</v>
      </c>
      <c r="K21" s="58" t="s">
        <v>0</v>
      </c>
    </row>
    <row r="22" spans="1:11" x14ac:dyDescent="0.25">
      <c r="A22" s="55" t="str">
        <f t="shared" si="0"/>
        <v>002010120061</v>
      </c>
      <c r="B22" s="58" t="s">
        <v>473</v>
      </c>
      <c r="C22" s="59" t="s">
        <v>474</v>
      </c>
      <c r="D22" s="58" t="s">
        <v>397</v>
      </c>
      <c r="E22" s="59" t="s">
        <v>475</v>
      </c>
      <c r="F22" s="58" t="s">
        <v>392</v>
      </c>
      <c r="G22" s="59" t="s">
        <v>471</v>
      </c>
      <c r="H22" s="58" t="s">
        <v>476</v>
      </c>
      <c r="I22" s="59" t="s">
        <v>477</v>
      </c>
      <c r="J22" s="58" t="s">
        <v>334</v>
      </c>
      <c r="K22" s="58" t="s">
        <v>429</v>
      </c>
    </row>
    <row r="23" spans="1:11" x14ac:dyDescent="0.25">
      <c r="A23" s="55" t="str">
        <f t="shared" si="0"/>
        <v>002010130061</v>
      </c>
      <c r="B23" s="58" t="s">
        <v>473</v>
      </c>
      <c r="C23" s="59" t="s">
        <v>474</v>
      </c>
      <c r="D23" s="58" t="s">
        <v>397</v>
      </c>
      <c r="E23" s="59" t="s">
        <v>475</v>
      </c>
      <c r="F23" s="58" t="s">
        <v>393</v>
      </c>
      <c r="G23" s="59" t="s">
        <v>472</v>
      </c>
      <c r="H23" s="58" t="s">
        <v>476</v>
      </c>
      <c r="I23" s="59" t="s">
        <v>477</v>
      </c>
      <c r="J23" s="58" t="s">
        <v>334</v>
      </c>
      <c r="K23" s="58" t="s">
        <v>0</v>
      </c>
    </row>
    <row r="24" spans="1:11" x14ac:dyDescent="0.25">
      <c r="A24" s="55" t="str">
        <f t="shared" si="0"/>
        <v>002010060034</v>
      </c>
      <c r="B24" s="58" t="s">
        <v>478</v>
      </c>
      <c r="C24" s="59" t="s">
        <v>479</v>
      </c>
      <c r="D24" s="58" t="s">
        <v>397</v>
      </c>
      <c r="E24" s="59" t="s">
        <v>475</v>
      </c>
      <c r="F24" s="58" t="s">
        <v>386</v>
      </c>
      <c r="G24" s="59" t="s">
        <v>470</v>
      </c>
      <c r="H24" s="58" t="s">
        <v>480</v>
      </c>
      <c r="I24" s="59" t="s">
        <v>481</v>
      </c>
      <c r="J24" s="58" t="s">
        <v>428</v>
      </c>
      <c r="K24" s="58" t="s">
        <v>429</v>
      </c>
    </row>
    <row r="25" spans="1:11" x14ac:dyDescent="0.25">
      <c r="A25" s="55" t="str">
        <f t="shared" si="0"/>
        <v>000710140008</v>
      </c>
      <c r="B25" s="58" t="s">
        <v>482</v>
      </c>
      <c r="C25" s="59" t="s">
        <v>483</v>
      </c>
      <c r="D25" s="58" t="s">
        <v>447</v>
      </c>
      <c r="E25" s="59" t="s">
        <v>448</v>
      </c>
      <c r="F25" s="58" t="s">
        <v>401</v>
      </c>
      <c r="G25" s="59" t="s">
        <v>484</v>
      </c>
      <c r="H25" s="58" t="s">
        <v>395</v>
      </c>
      <c r="I25" s="59" t="s">
        <v>449</v>
      </c>
      <c r="J25" s="58" t="s">
        <v>428</v>
      </c>
      <c r="K25" s="58" t="s">
        <v>429</v>
      </c>
    </row>
    <row r="26" spans="1:11" x14ac:dyDescent="0.25">
      <c r="A26" s="55" t="str">
        <f t="shared" si="0"/>
        <v>000510140001</v>
      </c>
      <c r="B26" s="58" t="s">
        <v>485</v>
      </c>
      <c r="C26" s="59" t="s">
        <v>486</v>
      </c>
      <c r="D26" s="58" t="s">
        <v>452</v>
      </c>
      <c r="E26" s="59" t="s">
        <v>453</v>
      </c>
      <c r="F26" s="58" t="s">
        <v>401</v>
      </c>
      <c r="G26" s="59" t="s">
        <v>484</v>
      </c>
      <c r="H26" s="58" t="s">
        <v>454</v>
      </c>
      <c r="I26" s="59" t="s">
        <v>455</v>
      </c>
      <c r="J26" s="58" t="s">
        <v>428</v>
      </c>
      <c r="K26" s="58" t="s">
        <v>429</v>
      </c>
    </row>
    <row r="27" spans="1:11" x14ac:dyDescent="0.25">
      <c r="A27" s="55" t="str">
        <f t="shared" si="0"/>
        <v>000710020008</v>
      </c>
      <c r="B27" s="58" t="s">
        <v>225</v>
      </c>
      <c r="C27" s="59" t="s">
        <v>487</v>
      </c>
      <c r="D27" s="58" t="s">
        <v>447</v>
      </c>
      <c r="E27" s="59" t="s">
        <v>448</v>
      </c>
      <c r="F27" s="58" t="s">
        <v>380</v>
      </c>
      <c r="G27" s="59" t="s">
        <v>467</v>
      </c>
      <c r="H27" s="58" t="s">
        <v>395</v>
      </c>
      <c r="I27" s="59" t="s">
        <v>449</v>
      </c>
      <c r="J27" s="58" t="s">
        <v>328</v>
      </c>
      <c r="K27" s="58" t="s">
        <v>0</v>
      </c>
    </row>
    <row r="28" spans="1:11" x14ac:dyDescent="0.25">
      <c r="A28" s="55" t="str">
        <f t="shared" si="0"/>
        <v>000710030008</v>
      </c>
      <c r="B28" s="58" t="s">
        <v>225</v>
      </c>
      <c r="C28" s="59" t="s">
        <v>487</v>
      </c>
      <c r="D28" s="58" t="s">
        <v>447</v>
      </c>
      <c r="E28" s="59" t="s">
        <v>448</v>
      </c>
      <c r="F28" s="58" t="s">
        <v>381</v>
      </c>
      <c r="G28" s="59" t="s">
        <v>468</v>
      </c>
      <c r="H28" s="58" t="s">
        <v>395</v>
      </c>
      <c r="I28" s="59" t="s">
        <v>449</v>
      </c>
      <c r="J28" s="58" t="s">
        <v>328</v>
      </c>
      <c r="K28" s="58" t="s">
        <v>0</v>
      </c>
    </row>
    <row r="29" spans="1:11" x14ac:dyDescent="0.25">
      <c r="A29" s="55" t="str">
        <f t="shared" si="0"/>
        <v>000710040008</v>
      </c>
      <c r="B29" s="58" t="s">
        <v>225</v>
      </c>
      <c r="C29" s="59" t="s">
        <v>487</v>
      </c>
      <c r="D29" s="58" t="s">
        <v>447</v>
      </c>
      <c r="E29" s="59" t="s">
        <v>448</v>
      </c>
      <c r="F29" s="58" t="s">
        <v>382</v>
      </c>
      <c r="G29" s="59" t="s">
        <v>444</v>
      </c>
      <c r="H29" s="58" t="s">
        <v>395</v>
      </c>
      <c r="I29" s="59" t="s">
        <v>449</v>
      </c>
      <c r="J29" s="58" t="s">
        <v>328</v>
      </c>
      <c r="K29" s="58" t="s">
        <v>0</v>
      </c>
    </row>
    <row r="30" spans="1:11" x14ac:dyDescent="0.25">
      <c r="A30" s="55" t="str">
        <f t="shared" si="0"/>
        <v>000710050008</v>
      </c>
      <c r="B30" s="58" t="s">
        <v>225</v>
      </c>
      <c r="C30" s="59" t="s">
        <v>487</v>
      </c>
      <c r="D30" s="58" t="s">
        <v>447</v>
      </c>
      <c r="E30" s="59" t="s">
        <v>448</v>
      </c>
      <c r="F30" s="58" t="s">
        <v>385</v>
      </c>
      <c r="G30" s="59" t="s">
        <v>469</v>
      </c>
      <c r="H30" s="58" t="s">
        <v>395</v>
      </c>
      <c r="I30" s="59" t="s">
        <v>449</v>
      </c>
      <c r="J30" s="58" t="s">
        <v>328</v>
      </c>
      <c r="K30" s="58" t="s">
        <v>0</v>
      </c>
    </row>
    <row r="31" spans="1:11" x14ac:dyDescent="0.25">
      <c r="A31" s="55" t="str">
        <f t="shared" si="0"/>
        <v>000710060008</v>
      </c>
      <c r="B31" s="58" t="s">
        <v>225</v>
      </c>
      <c r="C31" s="59" t="s">
        <v>487</v>
      </c>
      <c r="D31" s="58" t="s">
        <v>447</v>
      </c>
      <c r="E31" s="59" t="s">
        <v>448</v>
      </c>
      <c r="F31" s="58" t="s">
        <v>386</v>
      </c>
      <c r="G31" s="59" t="s">
        <v>470</v>
      </c>
      <c r="H31" s="58" t="s">
        <v>395</v>
      </c>
      <c r="I31" s="59" t="s">
        <v>449</v>
      </c>
      <c r="J31" s="58" t="s">
        <v>328</v>
      </c>
      <c r="K31" s="58" t="s">
        <v>429</v>
      </c>
    </row>
    <row r="32" spans="1:11" x14ac:dyDescent="0.25">
      <c r="A32" s="55" t="str">
        <f t="shared" si="0"/>
        <v>000710120008</v>
      </c>
      <c r="B32" s="58" t="s">
        <v>225</v>
      </c>
      <c r="C32" s="59" t="s">
        <v>487</v>
      </c>
      <c r="D32" s="58" t="s">
        <v>447</v>
      </c>
      <c r="E32" s="59" t="s">
        <v>448</v>
      </c>
      <c r="F32" s="58" t="s">
        <v>392</v>
      </c>
      <c r="G32" s="59" t="s">
        <v>471</v>
      </c>
      <c r="H32" s="58" t="s">
        <v>395</v>
      </c>
      <c r="I32" s="59" t="s">
        <v>449</v>
      </c>
      <c r="J32" s="58" t="s">
        <v>328</v>
      </c>
      <c r="K32" s="58" t="s">
        <v>0</v>
      </c>
    </row>
    <row r="33" spans="1:11" x14ac:dyDescent="0.25">
      <c r="A33" s="55" t="str">
        <f t="shared" si="0"/>
        <v>000710130008</v>
      </c>
      <c r="B33" s="58" t="s">
        <v>225</v>
      </c>
      <c r="C33" s="59" t="s">
        <v>487</v>
      </c>
      <c r="D33" s="58" t="s">
        <v>447</v>
      </c>
      <c r="E33" s="59" t="s">
        <v>448</v>
      </c>
      <c r="F33" s="58" t="s">
        <v>393</v>
      </c>
      <c r="G33" s="59" t="s">
        <v>472</v>
      </c>
      <c r="H33" s="58" t="s">
        <v>395</v>
      </c>
      <c r="I33" s="59" t="s">
        <v>449</v>
      </c>
      <c r="J33" s="58" t="s">
        <v>328</v>
      </c>
      <c r="K33" s="58" t="s">
        <v>0</v>
      </c>
    </row>
    <row r="34" spans="1:11" x14ac:dyDescent="0.25">
      <c r="A34" s="55" t="str">
        <f t="shared" si="0"/>
        <v>000510010001</v>
      </c>
      <c r="B34" s="58" t="s">
        <v>226</v>
      </c>
      <c r="C34" s="59" t="s">
        <v>488</v>
      </c>
      <c r="D34" s="58" t="s">
        <v>452</v>
      </c>
      <c r="E34" s="59" t="s">
        <v>453</v>
      </c>
      <c r="F34" s="58" t="s">
        <v>338</v>
      </c>
      <c r="G34" s="59" t="s">
        <v>489</v>
      </c>
      <c r="H34" s="58" t="s">
        <v>454</v>
      </c>
      <c r="I34" s="59" t="s">
        <v>455</v>
      </c>
      <c r="J34" s="58" t="s">
        <v>330</v>
      </c>
      <c r="K34" s="58" t="s">
        <v>0</v>
      </c>
    </row>
    <row r="35" spans="1:11" x14ac:dyDescent="0.25">
      <c r="A35" s="55" t="str">
        <f t="shared" si="0"/>
        <v>000510020001</v>
      </c>
      <c r="B35" s="58" t="s">
        <v>226</v>
      </c>
      <c r="C35" s="59" t="s">
        <v>488</v>
      </c>
      <c r="D35" s="58" t="s">
        <v>452</v>
      </c>
      <c r="E35" s="59" t="s">
        <v>453</v>
      </c>
      <c r="F35" s="58" t="s">
        <v>380</v>
      </c>
      <c r="G35" s="59" t="s">
        <v>467</v>
      </c>
      <c r="H35" s="58" t="s">
        <v>454</v>
      </c>
      <c r="I35" s="59" t="s">
        <v>455</v>
      </c>
      <c r="J35" s="58" t="s">
        <v>330</v>
      </c>
      <c r="K35" s="58" t="s">
        <v>0</v>
      </c>
    </row>
    <row r="36" spans="1:11" x14ac:dyDescent="0.25">
      <c r="A36" s="55" t="str">
        <f t="shared" si="0"/>
        <v>000510030001</v>
      </c>
      <c r="B36" s="58" t="s">
        <v>226</v>
      </c>
      <c r="C36" s="59" t="s">
        <v>488</v>
      </c>
      <c r="D36" s="58" t="s">
        <v>452</v>
      </c>
      <c r="E36" s="59" t="s">
        <v>453</v>
      </c>
      <c r="F36" s="58" t="s">
        <v>381</v>
      </c>
      <c r="G36" s="59" t="s">
        <v>468</v>
      </c>
      <c r="H36" s="58" t="s">
        <v>454</v>
      </c>
      <c r="I36" s="59" t="s">
        <v>455</v>
      </c>
      <c r="J36" s="58" t="s">
        <v>330</v>
      </c>
      <c r="K36" s="58" t="s">
        <v>0</v>
      </c>
    </row>
    <row r="37" spans="1:11" x14ac:dyDescent="0.25">
      <c r="A37" s="55" t="str">
        <f t="shared" si="0"/>
        <v>000510040001</v>
      </c>
      <c r="B37" s="58" t="s">
        <v>226</v>
      </c>
      <c r="C37" s="59" t="s">
        <v>488</v>
      </c>
      <c r="D37" s="58" t="s">
        <v>452</v>
      </c>
      <c r="E37" s="59" t="s">
        <v>453</v>
      </c>
      <c r="F37" s="58" t="s">
        <v>382</v>
      </c>
      <c r="G37" s="59" t="s">
        <v>444</v>
      </c>
      <c r="H37" s="58" t="s">
        <v>454</v>
      </c>
      <c r="I37" s="59" t="s">
        <v>455</v>
      </c>
      <c r="J37" s="58" t="s">
        <v>330</v>
      </c>
      <c r="K37" s="58" t="s">
        <v>0</v>
      </c>
    </row>
    <row r="38" spans="1:11" x14ac:dyDescent="0.25">
      <c r="A38" s="55" t="str">
        <f t="shared" si="0"/>
        <v>000510050001</v>
      </c>
      <c r="B38" s="58" t="s">
        <v>226</v>
      </c>
      <c r="C38" s="59" t="s">
        <v>488</v>
      </c>
      <c r="D38" s="58" t="s">
        <v>452</v>
      </c>
      <c r="E38" s="59" t="s">
        <v>453</v>
      </c>
      <c r="F38" s="58" t="s">
        <v>385</v>
      </c>
      <c r="G38" s="59" t="s">
        <v>469</v>
      </c>
      <c r="H38" s="58" t="s">
        <v>454</v>
      </c>
      <c r="I38" s="59" t="s">
        <v>455</v>
      </c>
      <c r="J38" s="58" t="s">
        <v>330</v>
      </c>
      <c r="K38" s="58" t="s">
        <v>0</v>
      </c>
    </row>
    <row r="39" spans="1:11" x14ac:dyDescent="0.25">
      <c r="A39" s="55" t="str">
        <f t="shared" si="0"/>
        <v>000510060001</v>
      </c>
      <c r="B39" s="58" t="s">
        <v>226</v>
      </c>
      <c r="C39" s="59" t="s">
        <v>488</v>
      </c>
      <c r="D39" s="58" t="s">
        <v>452</v>
      </c>
      <c r="E39" s="59" t="s">
        <v>453</v>
      </c>
      <c r="F39" s="58" t="s">
        <v>386</v>
      </c>
      <c r="G39" s="59" t="s">
        <v>470</v>
      </c>
      <c r="H39" s="58" t="s">
        <v>454</v>
      </c>
      <c r="I39" s="59" t="s">
        <v>455</v>
      </c>
      <c r="J39" s="58" t="s">
        <v>330</v>
      </c>
      <c r="K39" s="58" t="s">
        <v>429</v>
      </c>
    </row>
    <row r="40" spans="1:11" x14ac:dyDescent="0.25">
      <c r="A40" s="55" t="str">
        <f t="shared" si="0"/>
        <v>000510120001</v>
      </c>
      <c r="B40" s="58" t="s">
        <v>226</v>
      </c>
      <c r="C40" s="59" t="s">
        <v>488</v>
      </c>
      <c r="D40" s="58" t="s">
        <v>452</v>
      </c>
      <c r="E40" s="59" t="s">
        <v>453</v>
      </c>
      <c r="F40" s="58" t="s">
        <v>392</v>
      </c>
      <c r="G40" s="59" t="s">
        <v>471</v>
      </c>
      <c r="H40" s="58" t="s">
        <v>454</v>
      </c>
      <c r="I40" s="59" t="s">
        <v>455</v>
      </c>
      <c r="J40" s="58" t="s">
        <v>330</v>
      </c>
      <c r="K40" s="58" t="s">
        <v>0</v>
      </c>
    </row>
    <row r="41" spans="1:11" x14ac:dyDescent="0.25">
      <c r="A41" s="55" t="str">
        <f t="shared" si="0"/>
        <v>000510130001</v>
      </c>
      <c r="B41" s="58" t="s">
        <v>226</v>
      </c>
      <c r="C41" s="59" t="s">
        <v>488</v>
      </c>
      <c r="D41" s="58" t="s">
        <v>452</v>
      </c>
      <c r="E41" s="59" t="s">
        <v>453</v>
      </c>
      <c r="F41" s="58" t="s">
        <v>393</v>
      </c>
      <c r="G41" s="59" t="s">
        <v>472</v>
      </c>
      <c r="H41" s="58" t="s">
        <v>454</v>
      </c>
      <c r="I41" s="59" t="s">
        <v>455</v>
      </c>
      <c r="J41" s="58" t="s">
        <v>330</v>
      </c>
      <c r="K41" s="58" t="s">
        <v>0</v>
      </c>
    </row>
    <row r="42" spans="1:11" x14ac:dyDescent="0.25">
      <c r="A42" s="55" t="str">
        <f t="shared" si="0"/>
        <v>000710010006</v>
      </c>
      <c r="B42" s="58" t="s">
        <v>227</v>
      </c>
      <c r="C42" s="59" t="s">
        <v>490</v>
      </c>
      <c r="D42" s="58" t="s">
        <v>447</v>
      </c>
      <c r="E42" s="59" t="s">
        <v>448</v>
      </c>
      <c r="F42" s="58" t="s">
        <v>338</v>
      </c>
      <c r="G42" s="59" t="s">
        <v>489</v>
      </c>
      <c r="H42" s="58" t="s">
        <v>491</v>
      </c>
      <c r="I42" s="59" t="s">
        <v>492</v>
      </c>
      <c r="J42" s="58" t="s">
        <v>333</v>
      </c>
      <c r="K42" s="58" t="s">
        <v>429</v>
      </c>
    </row>
    <row r="43" spans="1:11" x14ac:dyDescent="0.25">
      <c r="A43" s="55" t="str">
        <f t="shared" si="0"/>
        <v>009010010104</v>
      </c>
      <c r="B43" s="58" t="s">
        <v>227</v>
      </c>
      <c r="C43" s="59" t="s">
        <v>490</v>
      </c>
      <c r="D43" s="58" t="s">
        <v>493</v>
      </c>
      <c r="E43" s="59" t="s">
        <v>494</v>
      </c>
      <c r="F43" s="58" t="s">
        <v>338</v>
      </c>
      <c r="G43" s="59" t="s">
        <v>489</v>
      </c>
      <c r="H43" s="58" t="s">
        <v>495</v>
      </c>
      <c r="I43" s="59" t="s">
        <v>496</v>
      </c>
      <c r="J43" s="58" t="s">
        <v>333</v>
      </c>
      <c r="K43" s="58" t="s">
        <v>0</v>
      </c>
    </row>
    <row r="44" spans="1:11" x14ac:dyDescent="0.25">
      <c r="A44" s="55" t="str">
        <f t="shared" si="0"/>
        <v>002010040061</v>
      </c>
      <c r="B44" s="58" t="s">
        <v>228</v>
      </c>
      <c r="C44" s="59" t="s">
        <v>497</v>
      </c>
      <c r="D44" s="58" t="s">
        <v>397</v>
      </c>
      <c r="E44" s="59" t="s">
        <v>475</v>
      </c>
      <c r="F44" s="58" t="s">
        <v>382</v>
      </c>
      <c r="G44" s="59" t="s">
        <v>444</v>
      </c>
      <c r="H44" s="58" t="s">
        <v>476</v>
      </c>
      <c r="I44" s="59" t="s">
        <v>477</v>
      </c>
      <c r="J44" s="58" t="s">
        <v>331</v>
      </c>
      <c r="K44" s="58" t="s">
        <v>429</v>
      </c>
    </row>
    <row r="45" spans="1:11" x14ac:dyDescent="0.25">
      <c r="A45" s="55" t="str">
        <f t="shared" si="0"/>
        <v>002010050061</v>
      </c>
      <c r="B45" s="58" t="s">
        <v>228</v>
      </c>
      <c r="C45" s="59" t="s">
        <v>497</v>
      </c>
      <c r="D45" s="58" t="s">
        <v>397</v>
      </c>
      <c r="E45" s="59" t="s">
        <v>475</v>
      </c>
      <c r="F45" s="58" t="s">
        <v>385</v>
      </c>
      <c r="G45" s="59" t="s">
        <v>469</v>
      </c>
      <c r="H45" s="58" t="s">
        <v>476</v>
      </c>
      <c r="I45" s="59" t="s">
        <v>477</v>
      </c>
      <c r="J45" s="58" t="s">
        <v>331</v>
      </c>
      <c r="K45" s="58" t="s">
        <v>0</v>
      </c>
    </row>
    <row r="46" spans="1:11" x14ac:dyDescent="0.25">
      <c r="A46" s="55" t="str">
        <f t="shared" si="0"/>
        <v>002010060061</v>
      </c>
      <c r="B46" s="58" t="s">
        <v>228</v>
      </c>
      <c r="C46" s="59" t="s">
        <v>497</v>
      </c>
      <c r="D46" s="58" t="s">
        <v>397</v>
      </c>
      <c r="E46" s="59" t="s">
        <v>475</v>
      </c>
      <c r="F46" s="58" t="s">
        <v>386</v>
      </c>
      <c r="G46" s="59" t="s">
        <v>470</v>
      </c>
      <c r="H46" s="58" t="s">
        <v>476</v>
      </c>
      <c r="I46" s="59" t="s">
        <v>477</v>
      </c>
      <c r="J46" s="58" t="s">
        <v>331</v>
      </c>
      <c r="K46" s="58" t="s">
        <v>0</v>
      </c>
    </row>
    <row r="47" spans="1:11" x14ac:dyDescent="0.25">
      <c r="A47" s="55" t="str">
        <f t="shared" si="0"/>
        <v>000910010014</v>
      </c>
      <c r="B47" s="58" t="s">
        <v>230</v>
      </c>
      <c r="C47" s="59" t="s">
        <v>498</v>
      </c>
      <c r="D47" s="58" t="s">
        <v>458</v>
      </c>
      <c r="E47" s="59" t="s">
        <v>459</v>
      </c>
      <c r="F47" s="58" t="s">
        <v>338</v>
      </c>
      <c r="G47" s="59" t="s">
        <v>489</v>
      </c>
      <c r="H47" s="58" t="s">
        <v>460</v>
      </c>
      <c r="I47" s="59" t="s">
        <v>461</v>
      </c>
      <c r="J47" s="58" t="s">
        <v>428</v>
      </c>
      <c r="K47" s="58" t="s">
        <v>429</v>
      </c>
    </row>
    <row r="48" spans="1:11" x14ac:dyDescent="0.25">
      <c r="A48" s="55" t="str">
        <f t="shared" si="0"/>
        <v>009010010100</v>
      </c>
      <c r="B48" s="58" t="s">
        <v>231</v>
      </c>
      <c r="C48" s="59" t="s">
        <v>494</v>
      </c>
      <c r="D48" s="58" t="s">
        <v>493</v>
      </c>
      <c r="E48" s="59" t="s">
        <v>494</v>
      </c>
      <c r="F48" s="58" t="s">
        <v>338</v>
      </c>
      <c r="G48" s="59" t="s">
        <v>489</v>
      </c>
      <c r="H48" s="58" t="s">
        <v>499</v>
      </c>
      <c r="I48" s="59" t="s">
        <v>500</v>
      </c>
      <c r="J48" s="58" t="s">
        <v>331</v>
      </c>
      <c r="K48" s="58" t="s">
        <v>429</v>
      </c>
    </row>
    <row r="49" spans="1:11" x14ac:dyDescent="0.25">
      <c r="A49" s="55" t="str">
        <f t="shared" si="0"/>
        <v>009010010101</v>
      </c>
      <c r="B49" s="58" t="s">
        <v>231</v>
      </c>
      <c r="C49" s="59" t="s">
        <v>494</v>
      </c>
      <c r="D49" s="58" t="s">
        <v>493</v>
      </c>
      <c r="E49" s="59" t="s">
        <v>494</v>
      </c>
      <c r="F49" s="58" t="s">
        <v>338</v>
      </c>
      <c r="G49" s="59" t="s">
        <v>489</v>
      </c>
      <c r="H49" s="58" t="s">
        <v>501</v>
      </c>
      <c r="I49" s="59" t="s">
        <v>502</v>
      </c>
      <c r="J49" s="58" t="s">
        <v>331</v>
      </c>
      <c r="K49" s="58" t="s">
        <v>0</v>
      </c>
    </row>
    <row r="50" spans="1:11" x14ac:dyDescent="0.25">
      <c r="A50" s="55" t="str">
        <f t="shared" si="0"/>
        <v>009010010102</v>
      </c>
      <c r="B50" s="58" t="s">
        <v>231</v>
      </c>
      <c r="C50" s="59" t="s">
        <v>494</v>
      </c>
      <c r="D50" s="58" t="s">
        <v>493</v>
      </c>
      <c r="E50" s="59" t="s">
        <v>494</v>
      </c>
      <c r="F50" s="58" t="s">
        <v>338</v>
      </c>
      <c r="G50" s="59" t="s">
        <v>489</v>
      </c>
      <c r="H50" s="58" t="s">
        <v>503</v>
      </c>
      <c r="I50" s="59" t="s">
        <v>504</v>
      </c>
      <c r="J50" s="58" t="s">
        <v>331</v>
      </c>
      <c r="K50" s="58" t="s">
        <v>0</v>
      </c>
    </row>
    <row r="51" spans="1:11" x14ac:dyDescent="0.25">
      <c r="A51" s="55" t="str">
        <f t="shared" si="0"/>
        <v>000910040014</v>
      </c>
      <c r="B51" s="58" t="s">
        <v>232</v>
      </c>
      <c r="C51" s="59" t="s">
        <v>505</v>
      </c>
      <c r="D51" s="58" t="s">
        <v>458</v>
      </c>
      <c r="E51" s="59" t="s">
        <v>459</v>
      </c>
      <c r="F51" s="58" t="s">
        <v>382</v>
      </c>
      <c r="G51" s="59" t="s">
        <v>444</v>
      </c>
      <c r="H51" s="58" t="s">
        <v>460</v>
      </c>
      <c r="I51" s="59" t="s">
        <v>461</v>
      </c>
      <c r="J51" s="58" t="s">
        <v>331</v>
      </c>
      <c r="K51" s="58" t="s">
        <v>0</v>
      </c>
    </row>
    <row r="52" spans="1:11" x14ac:dyDescent="0.25">
      <c r="A52" s="55" t="str">
        <f t="shared" si="0"/>
        <v>000910050014</v>
      </c>
      <c r="B52" s="58" t="s">
        <v>232</v>
      </c>
      <c r="C52" s="59" t="s">
        <v>505</v>
      </c>
      <c r="D52" s="58" t="s">
        <v>458</v>
      </c>
      <c r="E52" s="59" t="s">
        <v>459</v>
      </c>
      <c r="F52" s="58" t="s">
        <v>385</v>
      </c>
      <c r="G52" s="59" t="s">
        <v>469</v>
      </c>
      <c r="H52" s="58" t="s">
        <v>460</v>
      </c>
      <c r="I52" s="59" t="s">
        <v>461</v>
      </c>
      <c r="J52" s="58" t="s">
        <v>331</v>
      </c>
      <c r="K52" s="58" t="s">
        <v>0</v>
      </c>
    </row>
    <row r="53" spans="1:11" x14ac:dyDescent="0.25">
      <c r="A53" s="55" t="str">
        <f t="shared" si="0"/>
        <v>000910060014</v>
      </c>
      <c r="B53" s="58" t="s">
        <v>232</v>
      </c>
      <c r="C53" s="59" t="s">
        <v>505</v>
      </c>
      <c r="D53" s="58" t="s">
        <v>458</v>
      </c>
      <c r="E53" s="59" t="s">
        <v>459</v>
      </c>
      <c r="F53" s="58" t="s">
        <v>386</v>
      </c>
      <c r="G53" s="59" t="s">
        <v>470</v>
      </c>
      <c r="H53" s="58" t="s">
        <v>460</v>
      </c>
      <c r="I53" s="59" t="s">
        <v>461</v>
      </c>
      <c r="J53" s="58" t="s">
        <v>331</v>
      </c>
      <c r="K53" s="58" t="s">
        <v>429</v>
      </c>
    </row>
    <row r="54" spans="1:11" x14ac:dyDescent="0.25">
      <c r="A54" s="55" t="str">
        <f t="shared" si="0"/>
        <v>000910020014</v>
      </c>
      <c r="B54" s="58" t="s">
        <v>233</v>
      </c>
      <c r="C54" s="59" t="s">
        <v>506</v>
      </c>
      <c r="D54" s="58" t="s">
        <v>458</v>
      </c>
      <c r="E54" s="59" t="s">
        <v>459</v>
      </c>
      <c r="F54" s="58" t="s">
        <v>380</v>
      </c>
      <c r="G54" s="59" t="s">
        <v>467</v>
      </c>
      <c r="H54" s="58" t="s">
        <v>460</v>
      </c>
      <c r="I54" s="59" t="s">
        <v>461</v>
      </c>
      <c r="J54" s="58" t="s">
        <v>332</v>
      </c>
      <c r="K54" s="58" t="s">
        <v>0</v>
      </c>
    </row>
    <row r="55" spans="1:11" x14ac:dyDescent="0.25">
      <c r="A55" s="55" t="str">
        <f t="shared" si="0"/>
        <v>000910030014</v>
      </c>
      <c r="B55" s="58" t="s">
        <v>233</v>
      </c>
      <c r="C55" s="59" t="s">
        <v>506</v>
      </c>
      <c r="D55" s="58" t="s">
        <v>458</v>
      </c>
      <c r="E55" s="59" t="s">
        <v>459</v>
      </c>
      <c r="F55" s="58" t="s">
        <v>381</v>
      </c>
      <c r="G55" s="59" t="s">
        <v>468</v>
      </c>
      <c r="H55" s="58" t="s">
        <v>460</v>
      </c>
      <c r="I55" s="59" t="s">
        <v>461</v>
      </c>
      <c r="J55" s="58" t="s">
        <v>332</v>
      </c>
      <c r="K55" s="58" t="s">
        <v>0</v>
      </c>
    </row>
    <row r="56" spans="1:11" x14ac:dyDescent="0.25">
      <c r="A56" s="55" t="str">
        <f t="shared" si="0"/>
        <v>000910120014</v>
      </c>
      <c r="B56" s="58" t="s">
        <v>233</v>
      </c>
      <c r="C56" s="59" t="s">
        <v>506</v>
      </c>
      <c r="D56" s="58" t="s">
        <v>458</v>
      </c>
      <c r="E56" s="59" t="s">
        <v>459</v>
      </c>
      <c r="F56" s="58" t="s">
        <v>392</v>
      </c>
      <c r="G56" s="59" t="s">
        <v>471</v>
      </c>
      <c r="H56" s="58" t="s">
        <v>460</v>
      </c>
      <c r="I56" s="59" t="s">
        <v>461</v>
      </c>
      <c r="J56" s="58" t="s">
        <v>332</v>
      </c>
      <c r="K56" s="58" t="s">
        <v>429</v>
      </c>
    </row>
    <row r="57" spans="1:11" x14ac:dyDescent="0.25">
      <c r="A57" s="55" t="str">
        <f t="shared" si="0"/>
        <v>000910130014</v>
      </c>
      <c r="B57" s="58" t="s">
        <v>233</v>
      </c>
      <c r="C57" s="59" t="s">
        <v>506</v>
      </c>
      <c r="D57" s="58" t="s">
        <v>458</v>
      </c>
      <c r="E57" s="59" t="s">
        <v>459</v>
      </c>
      <c r="F57" s="58" t="s">
        <v>393</v>
      </c>
      <c r="G57" s="59" t="s">
        <v>472</v>
      </c>
      <c r="H57" s="58" t="s">
        <v>460</v>
      </c>
      <c r="I57" s="59" t="s">
        <v>461</v>
      </c>
      <c r="J57" s="58" t="s">
        <v>332</v>
      </c>
      <c r="K57" s="58" t="s">
        <v>0</v>
      </c>
    </row>
    <row r="58" spans="1:11" x14ac:dyDescent="0.25">
      <c r="A58" s="55" t="str">
        <f t="shared" si="0"/>
        <v>000910140014</v>
      </c>
      <c r="B58" s="58" t="s">
        <v>233</v>
      </c>
      <c r="C58" s="59" t="s">
        <v>506</v>
      </c>
      <c r="D58" s="58" t="s">
        <v>458</v>
      </c>
      <c r="E58" s="59" t="s">
        <v>459</v>
      </c>
      <c r="F58" s="58" t="s">
        <v>401</v>
      </c>
      <c r="G58" s="59" t="s">
        <v>484</v>
      </c>
      <c r="H58" s="58" t="s">
        <v>460</v>
      </c>
      <c r="I58" s="59" t="s">
        <v>461</v>
      </c>
      <c r="J58" s="58" t="s">
        <v>332</v>
      </c>
      <c r="K58" s="58" t="s">
        <v>0</v>
      </c>
    </row>
    <row r="59" spans="1:11" x14ac:dyDescent="0.25">
      <c r="A59" s="55" t="str">
        <f t="shared" si="0"/>
        <v>009210100108</v>
      </c>
      <c r="B59" s="58" t="s">
        <v>234</v>
      </c>
      <c r="C59" s="59" t="s">
        <v>507</v>
      </c>
      <c r="D59" s="58" t="s">
        <v>508</v>
      </c>
      <c r="E59" s="59" t="s">
        <v>509</v>
      </c>
      <c r="F59" s="58" t="s">
        <v>389</v>
      </c>
      <c r="G59" s="59" t="s">
        <v>441</v>
      </c>
      <c r="H59" s="58" t="s">
        <v>510</v>
      </c>
      <c r="I59" s="59" t="s">
        <v>511</v>
      </c>
      <c r="J59" s="58" t="s">
        <v>428</v>
      </c>
      <c r="K59" s="58" t="s">
        <v>429</v>
      </c>
    </row>
    <row r="60" spans="1:11" x14ac:dyDescent="0.25">
      <c r="A60" s="55" t="str">
        <f t="shared" si="0"/>
        <v>009110100106</v>
      </c>
      <c r="B60" s="58" t="s">
        <v>235</v>
      </c>
      <c r="C60" s="59" t="s">
        <v>512</v>
      </c>
      <c r="D60" s="58" t="s">
        <v>513</v>
      </c>
      <c r="E60" s="59" t="s">
        <v>512</v>
      </c>
      <c r="F60" s="58" t="s">
        <v>389</v>
      </c>
      <c r="G60" s="59" t="s">
        <v>441</v>
      </c>
      <c r="H60" s="58" t="s">
        <v>514</v>
      </c>
      <c r="I60" s="59" t="s">
        <v>512</v>
      </c>
      <c r="J60" s="58" t="s">
        <v>428</v>
      </c>
      <c r="K60" s="58" t="s">
        <v>429</v>
      </c>
    </row>
    <row r="61" spans="1:11" x14ac:dyDescent="0.25">
      <c r="A61" s="55" t="str">
        <f t="shared" si="0"/>
        <v>009210010103</v>
      </c>
      <c r="B61" s="58" t="s">
        <v>239</v>
      </c>
      <c r="C61" s="59" t="s">
        <v>515</v>
      </c>
      <c r="D61" s="58" t="s">
        <v>508</v>
      </c>
      <c r="E61" s="59" t="s">
        <v>509</v>
      </c>
      <c r="F61" s="58" t="s">
        <v>338</v>
      </c>
      <c r="G61" s="59" t="s">
        <v>489</v>
      </c>
      <c r="H61" s="58" t="s">
        <v>516</v>
      </c>
      <c r="I61" s="59" t="s">
        <v>517</v>
      </c>
      <c r="J61" s="58" t="s">
        <v>331</v>
      </c>
      <c r="K61" s="58" t="s">
        <v>0</v>
      </c>
    </row>
    <row r="62" spans="1:11" x14ac:dyDescent="0.25">
      <c r="A62" s="55" t="str">
        <f t="shared" si="0"/>
        <v>009210010104</v>
      </c>
      <c r="B62" s="58" t="s">
        <v>239</v>
      </c>
      <c r="C62" s="59" t="s">
        <v>515</v>
      </c>
      <c r="D62" s="58" t="s">
        <v>508</v>
      </c>
      <c r="E62" s="59" t="s">
        <v>509</v>
      </c>
      <c r="F62" s="58" t="s">
        <v>338</v>
      </c>
      <c r="G62" s="59" t="s">
        <v>489</v>
      </c>
      <c r="H62" s="58" t="s">
        <v>495</v>
      </c>
      <c r="I62" s="59" t="s">
        <v>496</v>
      </c>
      <c r="J62" s="58" t="s">
        <v>331</v>
      </c>
      <c r="K62" s="58" t="s">
        <v>0</v>
      </c>
    </row>
    <row r="63" spans="1:11" x14ac:dyDescent="0.25">
      <c r="A63" s="55" t="str">
        <f t="shared" si="0"/>
        <v>009210010107</v>
      </c>
      <c r="B63" s="58" t="s">
        <v>239</v>
      </c>
      <c r="C63" s="59" t="s">
        <v>515</v>
      </c>
      <c r="D63" s="58" t="s">
        <v>508</v>
      </c>
      <c r="E63" s="59" t="s">
        <v>509</v>
      </c>
      <c r="F63" s="58" t="s">
        <v>338</v>
      </c>
      <c r="G63" s="59" t="s">
        <v>489</v>
      </c>
      <c r="H63" s="58" t="s">
        <v>518</v>
      </c>
      <c r="I63" s="59" t="s">
        <v>519</v>
      </c>
      <c r="J63" s="58" t="s">
        <v>331</v>
      </c>
      <c r="K63" s="58" t="s">
        <v>429</v>
      </c>
    </row>
    <row r="64" spans="1:11" x14ac:dyDescent="0.25">
      <c r="A64" s="55" t="str">
        <f t="shared" si="0"/>
        <v>000610010002</v>
      </c>
      <c r="B64" s="58" t="s">
        <v>240</v>
      </c>
      <c r="C64" s="59" t="s">
        <v>520</v>
      </c>
      <c r="D64" s="58" t="s">
        <v>491</v>
      </c>
      <c r="E64" s="59" t="s">
        <v>521</v>
      </c>
      <c r="F64" s="58" t="s">
        <v>338</v>
      </c>
      <c r="G64" s="59" t="s">
        <v>489</v>
      </c>
      <c r="H64" s="58" t="s">
        <v>522</v>
      </c>
      <c r="I64" s="59" t="s">
        <v>523</v>
      </c>
      <c r="J64" s="58" t="s">
        <v>428</v>
      </c>
      <c r="K64" s="58" t="s">
        <v>429</v>
      </c>
    </row>
    <row r="65" spans="1:11" x14ac:dyDescent="0.25">
      <c r="A65" s="55" t="str">
        <f t="shared" si="0"/>
        <v>000910010013</v>
      </c>
      <c r="B65" s="58" t="s">
        <v>524</v>
      </c>
      <c r="C65" s="59" t="s">
        <v>525</v>
      </c>
      <c r="D65" s="58" t="s">
        <v>458</v>
      </c>
      <c r="E65" s="59" t="s">
        <v>459</v>
      </c>
      <c r="F65" s="58" t="s">
        <v>338</v>
      </c>
      <c r="G65" s="59" t="s">
        <v>489</v>
      </c>
      <c r="H65" s="58" t="s">
        <v>402</v>
      </c>
      <c r="I65" s="59" t="s">
        <v>526</v>
      </c>
      <c r="J65" s="58" t="s">
        <v>428</v>
      </c>
      <c r="K65" s="58" t="s">
        <v>429</v>
      </c>
    </row>
    <row r="66" spans="1:11" x14ac:dyDescent="0.25">
      <c r="A66" s="55" t="str">
        <f t="shared" si="0"/>
        <v>000610010004</v>
      </c>
      <c r="B66" s="58" t="s">
        <v>241</v>
      </c>
      <c r="C66" s="59" t="s">
        <v>527</v>
      </c>
      <c r="D66" s="58" t="s">
        <v>491</v>
      </c>
      <c r="E66" s="59" t="s">
        <v>521</v>
      </c>
      <c r="F66" s="58" t="s">
        <v>338</v>
      </c>
      <c r="G66" s="59" t="s">
        <v>489</v>
      </c>
      <c r="H66" s="58" t="s">
        <v>528</v>
      </c>
      <c r="I66" s="59" t="s">
        <v>529</v>
      </c>
      <c r="J66" s="58" t="s">
        <v>333</v>
      </c>
      <c r="K66" s="58" t="s">
        <v>429</v>
      </c>
    </row>
    <row r="67" spans="1:11" x14ac:dyDescent="0.25">
      <c r="A67" s="55" t="str">
        <f t="shared" si="0"/>
        <v>000610090004</v>
      </c>
      <c r="B67" s="58" t="s">
        <v>241</v>
      </c>
      <c r="C67" s="59" t="s">
        <v>527</v>
      </c>
      <c r="D67" s="58" t="s">
        <v>491</v>
      </c>
      <c r="E67" s="59" t="s">
        <v>521</v>
      </c>
      <c r="F67" s="58" t="s">
        <v>335</v>
      </c>
      <c r="G67" s="59" t="s">
        <v>530</v>
      </c>
      <c r="H67" s="58" t="s">
        <v>528</v>
      </c>
      <c r="I67" s="59" t="s">
        <v>529</v>
      </c>
      <c r="J67" s="58" t="s">
        <v>333</v>
      </c>
      <c r="K67" s="58" t="s">
        <v>0</v>
      </c>
    </row>
    <row r="68" spans="1:11" x14ac:dyDescent="0.25">
      <c r="A68" s="55" t="str">
        <f t="shared" ref="A68:A131" si="1">D68&amp;F68&amp;H68</f>
        <v>000610040005</v>
      </c>
      <c r="B68" s="58" t="s">
        <v>242</v>
      </c>
      <c r="C68" s="59" t="s">
        <v>531</v>
      </c>
      <c r="D68" s="58" t="s">
        <v>491</v>
      </c>
      <c r="E68" s="59" t="s">
        <v>521</v>
      </c>
      <c r="F68" s="58" t="s">
        <v>382</v>
      </c>
      <c r="G68" s="59" t="s">
        <v>444</v>
      </c>
      <c r="H68" s="58" t="s">
        <v>452</v>
      </c>
      <c r="I68" s="59" t="s">
        <v>532</v>
      </c>
      <c r="J68" s="58" t="s">
        <v>331</v>
      </c>
      <c r="K68" s="58" t="s">
        <v>429</v>
      </c>
    </row>
    <row r="69" spans="1:11" x14ac:dyDescent="0.25">
      <c r="A69" s="55" t="str">
        <f t="shared" si="1"/>
        <v>000610050005</v>
      </c>
      <c r="B69" s="58" t="s">
        <v>242</v>
      </c>
      <c r="C69" s="59" t="s">
        <v>531</v>
      </c>
      <c r="D69" s="58" t="s">
        <v>491</v>
      </c>
      <c r="E69" s="59" t="s">
        <v>521</v>
      </c>
      <c r="F69" s="58" t="s">
        <v>385</v>
      </c>
      <c r="G69" s="59" t="s">
        <v>469</v>
      </c>
      <c r="H69" s="58" t="s">
        <v>452</v>
      </c>
      <c r="I69" s="59" t="s">
        <v>532</v>
      </c>
      <c r="J69" s="58" t="s">
        <v>331</v>
      </c>
      <c r="K69" s="58" t="s">
        <v>0</v>
      </c>
    </row>
    <row r="70" spans="1:11" x14ac:dyDescent="0.25">
      <c r="A70" s="55" t="str">
        <f t="shared" si="1"/>
        <v>000610060005</v>
      </c>
      <c r="B70" s="58" t="s">
        <v>242</v>
      </c>
      <c r="C70" s="59" t="s">
        <v>531</v>
      </c>
      <c r="D70" s="58" t="s">
        <v>491</v>
      </c>
      <c r="E70" s="59" t="s">
        <v>521</v>
      </c>
      <c r="F70" s="58" t="s">
        <v>386</v>
      </c>
      <c r="G70" s="59" t="s">
        <v>470</v>
      </c>
      <c r="H70" s="58" t="s">
        <v>452</v>
      </c>
      <c r="I70" s="59" t="s">
        <v>532</v>
      </c>
      <c r="J70" s="58" t="s">
        <v>331</v>
      </c>
      <c r="K70" s="58" t="s">
        <v>0</v>
      </c>
    </row>
    <row r="71" spans="1:11" x14ac:dyDescent="0.25">
      <c r="A71" s="55" t="str">
        <f t="shared" si="1"/>
        <v>000610100005</v>
      </c>
      <c r="B71" s="58" t="s">
        <v>243</v>
      </c>
      <c r="C71" s="59" t="s">
        <v>533</v>
      </c>
      <c r="D71" s="58" t="s">
        <v>491</v>
      </c>
      <c r="E71" s="59" t="s">
        <v>521</v>
      </c>
      <c r="F71" s="58" t="s">
        <v>389</v>
      </c>
      <c r="G71" s="59" t="s">
        <v>441</v>
      </c>
      <c r="H71" s="58" t="s">
        <v>452</v>
      </c>
      <c r="I71" s="59" t="s">
        <v>532</v>
      </c>
      <c r="J71" s="58" t="s">
        <v>428</v>
      </c>
      <c r="K71" s="58" t="s">
        <v>429</v>
      </c>
    </row>
    <row r="72" spans="1:11" x14ac:dyDescent="0.25">
      <c r="A72" s="55" t="str">
        <f t="shared" si="1"/>
        <v>000610010030</v>
      </c>
      <c r="B72" s="58" t="s">
        <v>244</v>
      </c>
      <c r="C72" s="59" t="s">
        <v>534</v>
      </c>
      <c r="D72" s="58" t="s">
        <v>491</v>
      </c>
      <c r="E72" s="59" t="s">
        <v>521</v>
      </c>
      <c r="F72" s="58" t="s">
        <v>338</v>
      </c>
      <c r="G72" s="59" t="s">
        <v>489</v>
      </c>
      <c r="H72" s="58" t="s">
        <v>414</v>
      </c>
      <c r="I72" s="59" t="s">
        <v>535</v>
      </c>
      <c r="J72" s="58" t="s">
        <v>428</v>
      </c>
      <c r="K72" s="58" t="s">
        <v>429</v>
      </c>
    </row>
    <row r="73" spans="1:11" x14ac:dyDescent="0.25">
      <c r="A73" s="55" t="str">
        <f t="shared" si="1"/>
        <v>000610090009</v>
      </c>
      <c r="B73" s="58" t="s">
        <v>245</v>
      </c>
      <c r="C73" s="59" t="s">
        <v>536</v>
      </c>
      <c r="D73" s="58" t="s">
        <v>491</v>
      </c>
      <c r="E73" s="59" t="s">
        <v>521</v>
      </c>
      <c r="F73" s="58" t="s">
        <v>335</v>
      </c>
      <c r="G73" s="59" t="s">
        <v>530</v>
      </c>
      <c r="H73" s="58" t="s">
        <v>458</v>
      </c>
      <c r="I73" s="59" t="s">
        <v>537</v>
      </c>
      <c r="J73" s="58" t="s">
        <v>428</v>
      </c>
      <c r="K73" s="58" t="s">
        <v>429</v>
      </c>
    </row>
    <row r="74" spans="1:11" x14ac:dyDescent="0.25">
      <c r="A74" s="55" t="str">
        <f t="shared" si="1"/>
        <v>000910010025</v>
      </c>
      <c r="B74" s="58" t="s">
        <v>538</v>
      </c>
      <c r="C74" s="59" t="s">
        <v>539</v>
      </c>
      <c r="D74" s="58" t="s">
        <v>458</v>
      </c>
      <c r="E74" s="59" t="s">
        <v>459</v>
      </c>
      <c r="F74" s="58" t="s">
        <v>338</v>
      </c>
      <c r="G74" s="59" t="s">
        <v>489</v>
      </c>
      <c r="H74" s="58" t="s">
        <v>409</v>
      </c>
      <c r="I74" s="59" t="s">
        <v>540</v>
      </c>
      <c r="J74" s="58" t="s">
        <v>428</v>
      </c>
      <c r="K74" s="58" t="s">
        <v>429</v>
      </c>
    </row>
    <row r="75" spans="1:11" x14ac:dyDescent="0.25">
      <c r="A75" s="55" t="str">
        <f t="shared" si="1"/>
        <v>000910090009</v>
      </c>
      <c r="B75" s="58" t="s">
        <v>541</v>
      </c>
      <c r="C75" s="59" t="s">
        <v>542</v>
      </c>
      <c r="D75" s="58" t="s">
        <v>458</v>
      </c>
      <c r="E75" s="59" t="s">
        <v>459</v>
      </c>
      <c r="F75" s="58" t="s">
        <v>335</v>
      </c>
      <c r="G75" s="59" t="s">
        <v>530</v>
      </c>
      <c r="H75" s="58" t="s">
        <v>458</v>
      </c>
      <c r="I75" s="59" t="s">
        <v>537</v>
      </c>
      <c r="J75" s="58" t="s">
        <v>428</v>
      </c>
      <c r="K75" s="58" t="s">
        <v>429</v>
      </c>
    </row>
    <row r="76" spans="1:11" x14ac:dyDescent="0.25">
      <c r="A76" s="55" t="str">
        <f t="shared" si="1"/>
        <v>000810050012</v>
      </c>
      <c r="B76" s="58" t="s">
        <v>43</v>
      </c>
      <c r="C76" s="59" t="s">
        <v>543</v>
      </c>
      <c r="D76" s="58" t="s">
        <v>395</v>
      </c>
      <c r="E76" s="59" t="s">
        <v>544</v>
      </c>
      <c r="F76" s="58" t="s">
        <v>385</v>
      </c>
      <c r="G76" s="59" t="s">
        <v>469</v>
      </c>
      <c r="H76" s="58" t="s">
        <v>376</v>
      </c>
      <c r="I76" s="59" t="s">
        <v>545</v>
      </c>
      <c r="J76" s="58" t="s">
        <v>428</v>
      </c>
      <c r="K76" s="58" t="s">
        <v>429</v>
      </c>
    </row>
    <row r="77" spans="1:11" x14ac:dyDescent="0.25">
      <c r="A77" s="55" t="str">
        <f t="shared" si="1"/>
        <v>000810020012</v>
      </c>
      <c r="B77" s="58" t="s">
        <v>45</v>
      </c>
      <c r="C77" s="59" t="s">
        <v>546</v>
      </c>
      <c r="D77" s="58" t="s">
        <v>395</v>
      </c>
      <c r="E77" s="59" t="s">
        <v>544</v>
      </c>
      <c r="F77" s="58" t="s">
        <v>380</v>
      </c>
      <c r="G77" s="59" t="s">
        <v>467</v>
      </c>
      <c r="H77" s="58" t="s">
        <v>376</v>
      </c>
      <c r="I77" s="59" t="s">
        <v>545</v>
      </c>
      <c r="J77" s="58" t="s">
        <v>428</v>
      </c>
      <c r="K77" s="58" t="s">
        <v>429</v>
      </c>
    </row>
    <row r="78" spans="1:11" x14ac:dyDescent="0.25">
      <c r="A78" s="55" t="str">
        <f t="shared" si="1"/>
        <v>000810120012</v>
      </c>
      <c r="B78" s="58" t="s">
        <v>46</v>
      </c>
      <c r="C78" s="59" t="s">
        <v>547</v>
      </c>
      <c r="D78" s="58" t="s">
        <v>395</v>
      </c>
      <c r="E78" s="59" t="s">
        <v>544</v>
      </c>
      <c r="F78" s="58" t="s">
        <v>392</v>
      </c>
      <c r="G78" s="59" t="s">
        <v>471</v>
      </c>
      <c r="H78" s="58" t="s">
        <v>376</v>
      </c>
      <c r="I78" s="59" t="s">
        <v>545</v>
      </c>
      <c r="J78" s="58" t="s">
        <v>428</v>
      </c>
      <c r="K78" s="58" t="s">
        <v>429</v>
      </c>
    </row>
    <row r="79" spans="1:11" x14ac:dyDescent="0.25">
      <c r="A79" s="55" t="str">
        <f t="shared" si="1"/>
        <v>000810130012</v>
      </c>
      <c r="B79" s="58" t="s">
        <v>47</v>
      </c>
      <c r="C79" s="59" t="s">
        <v>548</v>
      </c>
      <c r="D79" s="58" t="s">
        <v>395</v>
      </c>
      <c r="E79" s="59" t="s">
        <v>544</v>
      </c>
      <c r="F79" s="58" t="s">
        <v>393</v>
      </c>
      <c r="G79" s="59" t="s">
        <v>472</v>
      </c>
      <c r="H79" s="58" t="s">
        <v>376</v>
      </c>
      <c r="I79" s="59" t="s">
        <v>545</v>
      </c>
      <c r="J79" s="58" t="s">
        <v>428</v>
      </c>
      <c r="K79" s="58" t="s">
        <v>429</v>
      </c>
    </row>
    <row r="80" spans="1:11" x14ac:dyDescent="0.25">
      <c r="A80" s="55" t="str">
        <f t="shared" si="1"/>
        <v>000810030012</v>
      </c>
      <c r="B80" s="58" t="s">
        <v>48</v>
      </c>
      <c r="C80" s="59" t="s">
        <v>549</v>
      </c>
      <c r="D80" s="58" t="s">
        <v>395</v>
      </c>
      <c r="E80" s="59" t="s">
        <v>544</v>
      </c>
      <c r="F80" s="58" t="s">
        <v>381</v>
      </c>
      <c r="G80" s="59" t="s">
        <v>468</v>
      </c>
      <c r="H80" s="58" t="s">
        <v>376</v>
      </c>
      <c r="I80" s="59" t="s">
        <v>545</v>
      </c>
      <c r="J80" s="58" t="s">
        <v>428</v>
      </c>
      <c r="K80" s="58" t="s">
        <v>429</v>
      </c>
    </row>
    <row r="81" spans="1:11" x14ac:dyDescent="0.25">
      <c r="A81" s="55" t="str">
        <f t="shared" si="1"/>
        <v>000810010021</v>
      </c>
      <c r="B81" s="58" t="s">
        <v>41</v>
      </c>
      <c r="C81" s="59" t="s">
        <v>550</v>
      </c>
      <c r="D81" s="58" t="s">
        <v>395</v>
      </c>
      <c r="E81" s="59" t="s">
        <v>544</v>
      </c>
      <c r="F81" s="58" t="s">
        <v>338</v>
      </c>
      <c r="G81" s="59" t="s">
        <v>489</v>
      </c>
      <c r="H81" s="58" t="s">
        <v>377</v>
      </c>
      <c r="I81" s="59" t="s">
        <v>551</v>
      </c>
      <c r="J81" s="58" t="s">
        <v>428</v>
      </c>
      <c r="K81" s="58" t="s">
        <v>429</v>
      </c>
    </row>
    <row r="82" spans="1:11" x14ac:dyDescent="0.25">
      <c r="A82" s="55" t="str">
        <f t="shared" si="1"/>
        <v>000810010022</v>
      </c>
      <c r="B82" s="58" t="s">
        <v>42</v>
      </c>
      <c r="C82" s="59" t="s">
        <v>552</v>
      </c>
      <c r="D82" s="58" t="s">
        <v>395</v>
      </c>
      <c r="E82" s="59" t="s">
        <v>544</v>
      </c>
      <c r="F82" s="58" t="s">
        <v>338</v>
      </c>
      <c r="G82" s="59" t="s">
        <v>489</v>
      </c>
      <c r="H82" s="58" t="s">
        <v>378</v>
      </c>
      <c r="I82" s="59" t="s">
        <v>553</v>
      </c>
      <c r="J82" s="58" t="s">
        <v>428</v>
      </c>
      <c r="K82" s="58" t="s">
        <v>429</v>
      </c>
    </row>
    <row r="83" spans="1:11" x14ac:dyDescent="0.25">
      <c r="A83" s="55" t="str">
        <f t="shared" si="1"/>
        <v>000810040012</v>
      </c>
      <c r="B83" s="58" t="s">
        <v>49</v>
      </c>
      <c r="C83" s="59" t="s">
        <v>554</v>
      </c>
      <c r="D83" s="58" t="s">
        <v>395</v>
      </c>
      <c r="E83" s="59" t="s">
        <v>544</v>
      </c>
      <c r="F83" s="58" t="s">
        <v>382</v>
      </c>
      <c r="G83" s="59" t="s">
        <v>444</v>
      </c>
      <c r="H83" s="58" t="s">
        <v>376</v>
      </c>
      <c r="I83" s="59" t="s">
        <v>545</v>
      </c>
      <c r="J83" s="58" t="s">
        <v>428</v>
      </c>
      <c r="K83" s="58" t="s">
        <v>429</v>
      </c>
    </row>
    <row r="84" spans="1:11" x14ac:dyDescent="0.25">
      <c r="A84" s="55" t="str">
        <f t="shared" si="1"/>
        <v>000810100017</v>
      </c>
      <c r="B84" s="58" t="s">
        <v>51</v>
      </c>
      <c r="C84" s="59" t="s">
        <v>555</v>
      </c>
      <c r="D84" s="58" t="s">
        <v>395</v>
      </c>
      <c r="E84" s="59" t="s">
        <v>544</v>
      </c>
      <c r="F84" s="58" t="s">
        <v>389</v>
      </c>
      <c r="G84" s="59" t="s">
        <v>441</v>
      </c>
      <c r="H84" s="58" t="s">
        <v>390</v>
      </c>
      <c r="I84" s="59" t="s">
        <v>556</v>
      </c>
      <c r="J84" s="58" t="s">
        <v>428</v>
      </c>
      <c r="K84" s="58" t="s">
        <v>429</v>
      </c>
    </row>
    <row r="85" spans="1:11" x14ac:dyDescent="0.25">
      <c r="A85" s="55" t="str">
        <f t="shared" si="1"/>
        <v>000810010012</v>
      </c>
      <c r="B85" s="58" t="s">
        <v>37</v>
      </c>
      <c r="C85" s="59" t="s">
        <v>557</v>
      </c>
      <c r="D85" s="58" t="s">
        <v>395</v>
      </c>
      <c r="E85" s="59" t="s">
        <v>544</v>
      </c>
      <c r="F85" s="58" t="s">
        <v>338</v>
      </c>
      <c r="G85" s="59" t="s">
        <v>489</v>
      </c>
      <c r="H85" s="58" t="s">
        <v>376</v>
      </c>
      <c r="I85" s="59" t="s">
        <v>545</v>
      </c>
      <c r="J85" s="58" t="s">
        <v>428</v>
      </c>
      <c r="K85" s="58" t="s">
        <v>429</v>
      </c>
    </row>
    <row r="86" spans="1:11" x14ac:dyDescent="0.25">
      <c r="A86" s="55" t="str">
        <f t="shared" si="1"/>
        <v>000810060012</v>
      </c>
      <c r="B86" s="58" t="s">
        <v>50</v>
      </c>
      <c r="C86" s="59" t="s">
        <v>558</v>
      </c>
      <c r="D86" s="58" t="s">
        <v>395</v>
      </c>
      <c r="E86" s="59" t="s">
        <v>544</v>
      </c>
      <c r="F86" s="58" t="s">
        <v>386</v>
      </c>
      <c r="G86" s="59" t="s">
        <v>470</v>
      </c>
      <c r="H86" s="58" t="s">
        <v>376</v>
      </c>
      <c r="I86" s="59" t="s">
        <v>545</v>
      </c>
      <c r="J86" s="58" t="s">
        <v>428</v>
      </c>
      <c r="K86" s="58" t="s">
        <v>429</v>
      </c>
    </row>
    <row r="87" spans="1:11" x14ac:dyDescent="0.25">
      <c r="A87" s="55" t="str">
        <f t="shared" si="1"/>
        <v>000810090009</v>
      </c>
      <c r="B87" s="58" t="s">
        <v>185</v>
      </c>
      <c r="C87" s="59" t="s">
        <v>559</v>
      </c>
      <c r="D87" s="58" t="s">
        <v>395</v>
      </c>
      <c r="E87" s="59" t="s">
        <v>544</v>
      </c>
      <c r="F87" s="58" t="s">
        <v>335</v>
      </c>
      <c r="G87" s="59" t="s">
        <v>530</v>
      </c>
      <c r="H87" s="58" t="s">
        <v>458</v>
      </c>
      <c r="I87" s="59" t="s">
        <v>537</v>
      </c>
      <c r="J87" s="58" t="s">
        <v>428</v>
      </c>
      <c r="K87" s="58" t="s">
        <v>429</v>
      </c>
    </row>
    <row r="88" spans="1:11" x14ac:dyDescent="0.25">
      <c r="A88" s="55" t="str">
        <f t="shared" si="1"/>
        <v>000810010007</v>
      </c>
      <c r="B88" s="58" t="s">
        <v>40</v>
      </c>
      <c r="C88" s="59" t="s">
        <v>560</v>
      </c>
      <c r="D88" s="58" t="s">
        <v>395</v>
      </c>
      <c r="E88" s="59" t="s">
        <v>544</v>
      </c>
      <c r="F88" s="58" t="s">
        <v>338</v>
      </c>
      <c r="G88" s="59" t="s">
        <v>489</v>
      </c>
      <c r="H88" s="58" t="s">
        <v>447</v>
      </c>
      <c r="I88" s="59" t="s">
        <v>561</v>
      </c>
      <c r="J88" s="58" t="s">
        <v>428</v>
      </c>
      <c r="K88" s="58" t="s">
        <v>429</v>
      </c>
    </row>
    <row r="89" spans="1:11" x14ac:dyDescent="0.25">
      <c r="A89" s="55" t="str">
        <f t="shared" si="1"/>
        <v>000110010026</v>
      </c>
      <c r="B89" s="58" t="s">
        <v>30</v>
      </c>
      <c r="C89" s="59" t="s">
        <v>562</v>
      </c>
      <c r="D89" s="58" t="s">
        <v>454</v>
      </c>
      <c r="E89" s="59" t="s">
        <v>563</v>
      </c>
      <c r="F89" s="58" t="s">
        <v>338</v>
      </c>
      <c r="G89" s="59" t="s">
        <v>489</v>
      </c>
      <c r="H89" s="58" t="s">
        <v>411</v>
      </c>
      <c r="I89" s="59" t="s">
        <v>564</v>
      </c>
      <c r="J89" s="58" t="s">
        <v>428</v>
      </c>
      <c r="K89" s="58" t="s">
        <v>429</v>
      </c>
    </row>
    <row r="90" spans="1:11" x14ac:dyDescent="0.25">
      <c r="A90" s="55" t="str">
        <f t="shared" si="1"/>
        <v>000110010027</v>
      </c>
      <c r="B90" s="58" t="s">
        <v>31</v>
      </c>
      <c r="C90" s="59" t="s">
        <v>565</v>
      </c>
      <c r="D90" s="58" t="s">
        <v>454</v>
      </c>
      <c r="E90" s="59" t="s">
        <v>563</v>
      </c>
      <c r="F90" s="58" t="s">
        <v>338</v>
      </c>
      <c r="G90" s="59" t="s">
        <v>489</v>
      </c>
      <c r="H90" s="58" t="s">
        <v>412</v>
      </c>
      <c r="I90" s="59" t="s">
        <v>566</v>
      </c>
      <c r="J90" s="58" t="s">
        <v>428</v>
      </c>
      <c r="K90" s="58" t="s">
        <v>429</v>
      </c>
    </row>
    <row r="91" spans="1:11" x14ac:dyDescent="0.25">
      <c r="A91" s="55" t="str">
        <f t="shared" si="1"/>
        <v>000210010028</v>
      </c>
      <c r="B91" s="58" t="s">
        <v>32</v>
      </c>
      <c r="C91" s="59" t="s">
        <v>567</v>
      </c>
      <c r="D91" s="58" t="s">
        <v>522</v>
      </c>
      <c r="E91" s="59" t="s">
        <v>568</v>
      </c>
      <c r="F91" s="58" t="s">
        <v>338</v>
      </c>
      <c r="G91" s="59" t="s">
        <v>489</v>
      </c>
      <c r="H91" s="58" t="s">
        <v>413</v>
      </c>
      <c r="I91" s="59" t="s">
        <v>569</v>
      </c>
      <c r="J91" s="58" t="s">
        <v>428</v>
      </c>
      <c r="K91" s="58" t="s">
        <v>429</v>
      </c>
    </row>
    <row r="92" spans="1:11" x14ac:dyDescent="0.25">
      <c r="A92" s="55" t="str">
        <f t="shared" si="1"/>
        <v>000210010029</v>
      </c>
      <c r="B92" s="58" t="s">
        <v>33</v>
      </c>
      <c r="C92" s="59" t="s">
        <v>570</v>
      </c>
      <c r="D92" s="58" t="s">
        <v>522</v>
      </c>
      <c r="E92" s="59" t="s">
        <v>568</v>
      </c>
      <c r="F92" s="58" t="s">
        <v>338</v>
      </c>
      <c r="G92" s="59" t="s">
        <v>489</v>
      </c>
      <c r="H92" s="58" t="s">
        <v>571</v>
      </c>
      <c r="I92" s="59" t="s">
        <v>572</v>
      </c>
      <c r="J92" s="58" t="s">
        <v>428</v>
      </c>
      <c r="K92" s="58" t="s">
        <v>429</v>
      </c>
    </row>
    <row r="93" spans="1:11" x14ac:dyDescent="0.25">
      <c r="A93" s="55" t="str">
        <f t="shared" si="1"/>
        <v>000210100028</v>
      </c>
      <c r="B93" s="58" t="s">
        <v>34</v>
      </c>
      <c r="C93" s="59" t="s">
        <v>573</v>
      </c>
      <c r="D93" s="58" t="s">
        <v>522</v>
      </c>
      <c r="E93" s="59" t="s">
        <v>568</v>
      </c>
      <c r="F93" s="58" t="s">
        <v>389</v>
      </c>
      <c r="G93" s="59" t="s">
        <v>441</v>
      </c>
      <c r="H93" s="58" t="s">
        <v>413</v>
      </c>
      <c r="I93" s="59" t="s">
        <v>569</v>
      </c>
      <c r="J93" s="58" t="s">
        <v>428</v>
      </c>
      <c r="K93" s="58" t="s">
        <v>429</v>
      </c>
    </row>
    <row r="94" spans="1:11" x14ac:dyDescent="0.25">
      <c r="A94" s="55" t="str">
        <f t="shared" si="1"/>
        <v>000110020003</v>
      </c>
      <c r="B94" s="58" t="s">
        <v>11</v>
      </c>
      <c r="C94" s="59" t="s">
        <v>574</v>
      </c>
      <c r="D94" s="58" t="s">
        <v>454</v>
      </c>
      <c r="E94" s="59" t="s">
        <v>563</v>
      </c>
      <c r="F94" s="58" t="s">
        <v>380</v>
      </c>
      <c r="G94" s="59" t="s">
        <v>467</v>
      </c>
      <c r="H94" s="58" t="s">
        <v>375</v>
      </c>
      <c r="I94" s="59" t="s">
        <v>575</v>
      </c>
      <c r="J94" s="58" t="s">
        <v>334</v>
      </c>
      <c r="K94" s="58" t="s">
        <v>0</v>
      </c>
    </row>
    <row r="95" spans="1:11" x14ac:dyDescent="0.25">
      <c r="A95" s="55" t="str">
        <f t="shared" si="1"/>
        <v>000110030003</v>
      </c>
      <c r="B95" s="58" t="s">
        <v>11</v>
      </c>
      <c r="C95" s="59" t="s">
        <v>574</v>
      </c>
      <c r="D95" s="58" t="s">
        <v>454</v>
      </c>
      <c r="E95" s="59" t="s">
        <v>563</v>
      </c>
      <c r="F95" s="58" t="s">
        <v>381</v>
      </c>
      <c r="G95" s="59" t="s">
        <v>468</v>
      </c>
      <c r="H95" s="58" t="s">
        <v>375</v>
      </c>
      <c r="I95" s="59" t="s">
        <v>575</v>
      </c>
      <c r="J95" s="58" t="s">
        <v>334</v>
      </c>
      <c r="K95" s="58" t="s">
        <v>0</v>
      </c>
    </row>
    <row r="96" spans="1:11" x14ac:dyDescent="0.25">
      <c r="A96" s="55" t="str">
        <f t="shared" si="1"/>
        <v>000110120003</v>
      </c>
      <c r="B96" s="58" t="s">
        <v>11</v>
      </c>
      <c r="C96" s="59" t="s">
        <v>574</v>
      </c>
      <c r="D96" s="58" t="s">
        <v>454</v>
      </c>
      <c r="E96" s="59" t="s">
        <v>563</v>
      </c>
      <c r="F96" s="58" t="s">
        <v>392</v>
      </c>
      <c r="G96" s="59" t="s">
        <v>471</v>
      </c>
      <c r="H96" s="58" t="s">
        <v>375</v>
      </c>
      <c r="I96" s="59" t="s">
        <v>575</v>
      </c>
      <c r="J96" s="58" t="s">
        <v>334</v>
      </c>
      <c r="K96" s="58" t="s">
        <v>429</v>
      </c>
    </row>
    <row r="97" spans="1:11" x14ac:dyDescent="0.25">
      <c r="A97" s="55" t="str">
        <f t="shared" si="1"/>
        <v>000110130003</v>
      </c>
      <c r="B97" s="58" t="s">
        <v>11</v>
      </c>
      <c r="C97" s="59" t="s">
        <v>574</v>
      </c>
      <c r="D97" s="58" t="s">
        <v>454</v>
      </c>
      <c r="E97" s="59" t="s">
        <v>563</v>
      </c>
      <c r="F97" s="58" t="s">
        <v>393</v>
      </c>
      <c r="G97" s="59" t="s">
        <v>472</v>
      </c>
      <c r="H97" s="58" t="s">
        <v>375</v>
      </c>
      <c r="I97" s="59" t="s">
        <v>575</v>
      </c>
      <c r="J97" s="58" t="s">
        <v>334</v>
      </c>
      <c r="K97" s="58" t="s">
        <v>0</v>
      </c>
    </row>
    <row r="98" spans="1:11" x14ac:dyDescent="0.25">
      <c r="A98" s="55" t="str">
        <f t="shared" si="1"/>
        <v>000210020005</v>
      </c>
      <c r="B98" s="58" t="s">
        <v>13</v>
      </c>
      <c r="C98" s="59" t="s">
        <v>559</v>
      </c>
      <c r="D98" s="58" t="s">
        <v>522</v>
      </c>
      <c r="E98" s="59" t="s">
        <v>568</v>
      </c>
      <c r="F98" s="58" t="s">
        <v>380</v>
      </c>
      <c r="G98" s="59" t="s">
        <v>467</v>
      </c>
      <c r="H98" s="58" t="s">
        <v>452</v>
      </c>
      <c r="I98" s="59" t="s">
        <v>532</v>
      </c>
      <c r="J98" s="58" t="s">
        <v>334</v>
      </c>
      <c r="K98" s="58" t="s">
        <v>0</v>
      </c>
    </row>
    <row r="99" spans="1:11" x14ac:dyDescent="0.25">
      <c r="A99" s="55" t="str">
        <f t="shared" si="1"/>
        <v>000210030005</v>
      </c>
      <c r="B99" s="58" t="s">
        <v>13</v>
      </c>
      <c r="C99" s="59" t="s">
        <v>559</v>
      </c>
      <c r="D99" s="58" t="s">
        <v>522</v>
      </c>
      <c r="E99" s="59" t="s">
        <v>568</v>
      </c>
      <c r="F99" s="58" t="s">
        <v>381</v>
      </c>
      <c r="G99" s="59" t="s">
        <v>468</v>
      </c>
      <c r="H99" s="58" t="s">
        <v>452</v>
      </c>
      <c r="I99" s="59" t="s">
        <v>532</v>
      </c>
      <c r="J99" s="58" t="s">
        <v>334</v>
      </c>
      <c r="K99" s="58" t="s">
        <v>0</v>
      </c>
    </row>
    <row r="100" spans="1:11" x14ac:dyDescent="0.25">
      <c r="A100" s="55" t="str">
        <f t="shared" si="1"/>
        <v>000210120005</v>
      </c>
      <c r="B100" s="58" t="s">
        <v>13</v>
      </c>
      <c r="C100" s="59" t="s">
        <v>559</v>
      </c>
      <c r="D100" s="58" t="s">
        <v>522</v>
      </c>
      <c r="E100" s="59" t="s">
        <v>568</v>
      </c>
      <c r="F100" s="58" t="s">
        <v>392</v>
      </c>
      <c r="G100" s="59" t="s">
        <v>471</v>
      </c>
      <c r="H100" s="58" t="s">
        <v>452</v>
      </c>
      <c r="I100" s="59" t="s">
        <v>532</v>
      </c>
      <c r="J100" s="58" t="s">
        <v>334</v>
      </c>
      <c r="K100" s="58" t="s">
        <v>429</v>
      </c>
    </row>
    <row r="101" spans="1:11" x14ac:dyDescent="0.25">
      <c r="A101" s="55" t="str">
        <f t="shared" si="1"/>
        <v>000210130005</v>
      </c>
      <c r="B101" s="58" t="s">
        <v>13</v>
      </c>
      <c r="C101" s="59" t="s">
        <v>559</v>
      </c>
      <c r="D101" s="58" t="s">
        <v>522</v>
      </c>
      <c r="E101" s="59" t="s">
        <v>568</v>
      </c>
      <c r="F101" s="58" t="s">
        <v>393</v>
      </c>
      <c r="G101" s="59" t="s">
        <v>472</v>
      </c>
      <c r="H101" s="58" t="s">
        <v>452</v>
      </c>
      <c r="I101" s="59" t="s">
        <v>532</v>
      </c>
      <c r="J101" s="58" t="s">
        <v>334</v>
      </c>
      <c r="K101" s="58" t="s">
        <v>0</v>
      </c>
    </row>
    <row r="102" spans="1:11" x14ac:dyDescent="0.25">
      <c r="A102" s="55" t="str">
        <f t="shared" si="1"/>
        <v>001410020042</v>
      </c>
      <c r="B102" s="58" t="s">
        <v>251</v>
      </c>
      <c r="C102" s="59" t="s">
        <v>576</v>
      </c>
      <c r="D102" s="58" t="s">
        <v>460</v>
      </c>
      <c r="E102" s="59" t="s">
        <v>577</v>
      </c>
      <c r="F102" s="58" t="s">
        <v>380</v>
      </c>
      <c r="G102" s="59" t="s">
        <v>467</v>
      </c>
      <c r="H102" s="58" t="s">
        <v>578</v>
      </c>
      <c r="I102" s="59" t="s">
        <v>579</v>
      </c>
      <c r="J102" s="58" t="s">
        <v>334</v>
      </c>
      <c r="K102" s="58" t="s">
        <v>0</v>
      </c>
    </row>
    <row r="103" spans="1:11" x14ac:dyDescent="0.25">
      <c r="A103" s="55" t="str">
        <f t="shared" si="1"/>
        <v>001410030042</v>
      </c>
      <c r="B103" s="58" t="s">
        <v>251</v>
      </c>
      <c r="C103" s="59" t="s">
        <v>576</v>
      </c>
      <c r="D103" s="58" t="s">
        <v>460</v>
      </c>
      <c r="E103" s="59" t="s">
        <v>577</v>
      </c>
      <c r="F103" s="58" t="s">
        <v>381</v>
      </c>
      <c r="G103" s="59" t="s">
        <v>468</v>
      </c>
      <c r="H103" s="58" t="s">
        <v>578</v>
      </c>
      <c r="I103" s="59" t="s">
        <v>579</v>
      </c>
      <c r="J103" s="58" t="s">
        <v>334</v>
      </c>
      <c r="K103" s="58" t="s">
        <v>0</v>
      </c>
    </row>
    <row r="104" spans="1:11" x14ac:dyDescent="0.25">
      <c r="A104" s="55" t="str">
        <f t="shared" si="1"/>
        <v>001410120042</v>
      </c>
      <c r="B104" s="58" t="s">
        <v>251</v>
      </c>
      <c r="C104" s="59" t="s">
        <v>576</v>
      </c>
      <c r="D104" s="58" t="s">
        <v>460</v>
      </c>
      <c r="E104" s="59" t="s">
        <v>577</v>
      </c>
      <c r="F104" s="58" t="s">
        <v>392</v>
      </c>
      <c r="G104" s="59" t="s">
        <v>471</v>
      </c>
      <c r="H104" s="58" t="s">
        <v>578</v>
      </c>
      <c r="I104" s="59" t="s">
        <v>579</v>
      </c>
      <c r="J104" s="58" t="s">
        <v>334</v>
      </c>
      <c r="K104" s="58" t="s">
        <v>429</v>
      </c>
    </row>
    <row r="105" spans="1:11" x14ac:dyDescent="0.25">
      <c r="A105" s="55" t="str">
        <f t="shared" si="1"/>
        <v>001410130042</v>
      </c>
      <c r="B105" s="58" t="s">
        <v>251</v>
      </c>
      <c r="C105" s="59" t="s">
        <v>576</v>
      </c>
      <c r="D105" s="58" t="s">
        <v>460</v>
      </c>
      <c r="E105" s="59" t="s">
        <v>577</v>
      </c>
      <c r="F105" s="58" t="s">
        <v>393</v>
      </c>
      <c r="G105" s="59" t="s">
        <v>472</v>
      </c>
      <c r="H105" s="58" t="s">
        <v>578</v>
      </c>
      <c r="I105" s="59" t="s">
        <v>579</v>
      </c>
      <c r="J105" s="58" t="s">
        <v>334</v>
      </c>
      <c r="K105" s="58" t="s">
        <v>0</v>
      </c>
    </row>
    <row r="106" spans="1:11" x14ac:dyDescent="0.25">
      <c r="A106" s="55" t="str">
        <f t="shared" si="1"/>
        <v>000210140042</v>
      </c>
      <c r="B106" s="58" t="s">
        <v>14</v>
      </c>
      <c r="C106" s="59" t="s">
        <v>580</v>
      </c>
      <c r="D106" s="58" t="s">
        <v>522</v>
      </c>
      <c r="E106" s="59" t="s">
        <v>568</v>
      </c>
      <c r="F106" s="58" t="s">
        <v>401</v>
      </c>
      <c r="G106" s="59" t="s">
        <v>484</v>
      </c>
      <c r="H106" s="58" t="s">
        <v>578</v>
      </c>
      <c r="I106" s="59" t="s">
        <v>579</v>
      </c>
      <c r="J106" s="58" t="s">
        <v>428</v>
      </c>
      <c r="K106" s="58" t="s">
        <v>429</v>
      </c>
    </row>
    <row r="107" spans="1:11" x14ac:dyDescent="0.25">
      <c r="A107" s="55" t="str">
        <f t="shared" si="1"/>
        <v>000110100003</v>
      </c>
      <c r="B107" s="58" t="s">
        <v>15</v>
      </c>
      <c r="C107" s="59" t="s">
        <v>581</v>
      </c>
      <c r="D107" s="58" t="s">
        <v>454</v>
      </c>
      <c r="E107" s="59" t="s">
        <v>563</v>
      </c>
      <c r="F107" s="58" t="s">
        <v>389</v>
      </c>
      <c r="G107" s="59" t="s">
        <v>441</v>
      </c>
      <c r="H107" s="58" t="s">
        <v>375</v>
      </c>
      <c r="I107" s="59" t="s">
        <v>575</v>
      </c>
      <c r="J107" s="58" t="s">
        <v>428</v>
      </c>
      <c r="K107" s="58" t="s">
        <v>429</v>
      </c>
    </row>
    <row r="108" spans="1:11" x14ac:dyDescent="0.25">
      <c r="A108" s="55" t="str">
        <f t="shared" si="1"/>
        <v>000210100004</v>
      </c>
      <c r="B108" s="58" t="s">
        <v>16</v>
      </c>
      <c r="C108" s="59" t="s">
        <v>582</v>
      </c>
      <c r="D108" s="58" t="s">
        <v>522</v>
      </c>
      <c r="E108" s="59" t="s">
        <v>568</v>
      </c>
      <c r="F108" s="58" t="s">
        <v>389</v>
      </c>
      <c r="G108" s="59" t="s">
        <v>441</v>
      </c>
      <c r="H108" s="58" t="s">
        <v>528</v>
      </c>
      <c r="I108" s="59" t="s">
        <v>529</v>
      </c>
      <c r="J108" s="58" t="s">
        <v>333</v>
      </c>
      <c r="K108" s="58" t="s">
        <v>0</v>
      </c>
    </row>
    <row r="109" spans="1:11" x14ac:dyDescent="0.25">
      <c r="A109" s="55" t="str">
        <f t="shared" si="1"/>
        <v>000210100005</v>
      </c>
      <c r="B109" s="58" t="s">
        <v>16</v>
      </c>
      <c r="C109" s="59" t="s">
        <v>582</v>
      </c>
      <c r="D109" s="58" t="s">
        <v>522</v>
      </c>
      <c r="E109" s="59" t="s">
        <v>568</v>
      </c>
      <c r="F109" s="58" t="s">
        <v>389</v>
      </c>
      <c r="G109" s="59" t="s">
        <v>441</v>
      </c>
      <c r="H109" s="58" t="s">
        <v>452</v>
      </c>
      <c r="I109" s="59" t="s">
        <v>532</v>
      </c>
      <c r="J109" s="58" t="s">
        <v>333</v>
      </c>
      <c r="K109" s="58" t="s">
        <v>429</v>
      </c>
    </row>
    <row r="110" spans="1:11" x14ac:dyDescent="0.25">
      <c r="A110" s="55" t="str">
        <f t="shared" si="1"/>
        <v>000110090003</v>
      </c>
      <c r="B110" s="58" t="s">
        <v>35</v>
      </c>
      <c r="C110" s="59" t="s">
        <v>583</v>
      </c>
      <c r="D110" s="58" t="s">
        <v>454</v>
      </c>
      <c r="E110" s="59" t="s">
        <v>563</v>
      </c>
      <c r="F110" s="58" t="s">
        <v>335</v>
      </c>
      <c r="G110" s="59" t="s">
        <v>530</v>
      </c>
      <c r="H110" s="58" t="s">
        <v>375</v>
      </c>
      <c r="I110" s="59" t="s">
        <v>575</v>
      </c>
      <c r="J110" s="58" t="s">
        <v>428</v>
      </c>
      <c r="K110" s="58" t="s">
        <v>429</v>
      </c>
    </row>
    <row r="111" spans="1:11" x14ac:dyDescent="0.25">
      <c r="A111" s="55" t="str">
        <f t="shared" si="1"/>
        <v>000110000003</v>
      </c>
      <c r="B111" s="58" t="s">
        <v>17</v>
      </c>
      <c r="C111" s="59" t="s">
        <v>584</v>
      </c>
      <c r="D111" s="58" t="s">
        <v>454</v>
      </c>
      <c r="E111" s="59" t="s">
        <v>563</v>
      </c>
      <c r="F111" s="58" t="s">
        <v>329</v>
      </c>
      <c r="G111" s="59" t="s">
        <v>585</v>
      </c>
      <c r="H111" s="58" t="s">
        <v>375</v>
      </c>
      <c r="I111" s="59" t="s">
        <v>575</v>
      </c>
      <c r="J111" s="58" t="s">
        <v>334</v>
      </c>
      <c r="K111" s="58" t="s">
        <v>0</v>
      </c>
    </row>
    <row r="112" spans="1:11" x14ac:dyDescent="0.25">
      <c r="A112" s="55" t="str">
        <f t="shared" si="1"/>
        <v>000110040003</v>
      </c>
      <c r="B112" s="58" t="s">
        <v>17</v>
      </c>
      <c r="C112" s="59" t="s">
        <v>584</v>
      </c>
      <c r="D112" s="58" t="s">
        <v>454</v>
      </c>
      <c r="E112" s="59" t="s">
        <v>563</v>
      </c>
      <c r="F112" s="58" t="s">
        <v>382</v>
      </c>
      <c r="G112" s="59" t="s">
        <v>444</v>
      </c>
      <c r="H112" s="58" t="s">
        <v>375</v>
      </c>
      <c r="I112" s="59" t="s">
        <v>575</v>
      </c>
      <c r="J112" s="58" t="s">
        <v>334</v>
      </c>
      <c r="K112" s="58" t="s">
        <v>429</v>
      </c>
    </row>
    <row r="113" spans="1:11" x14ac:dyDescent="0.25">
      <c r="A113" s="55" t="str">
        <f t="shared" si="1"/>
        <v>000110050003</v>
      </c>
      <c r="B113" s="58" t="s">
        <v>17</v>
      </c>
      <c r="C113" s="59" t="s">
        <v>584</v>
      </c>
      <c r="D113" s="58" t="s">
        <v>454</v>
      </c>
      <c r="E113" s="59" t="s">
        <v>563</v>
      </c>
      <c r="F113" s="58" t="s">
        <v>385</v>
      </c>
      <c r="G113" s="59" t="s">
        <v>469</v>
      </c>
      <c r="H113" s="58" t="s">
        <v>375</v>
      </c>
      <c r="I113" s="59" t="s">
        <v>575</v>
      </c>
      <c r="J113" s="58" t="s">
        <v>334</v>
      </c>
      <c r="K113" s="58" t="s">
        <v>0</v>
      </c>
    </row>
    <row r="114" spans="1:11" x14ac:dyDescent="0.25">
      <c r="A114" s="55" t="str">
        <f t="shared" si="1"/>
        <v>000110060003</v>
      </c>
      <c r="B114" s="58" t="s">
        <v>17</v>
      </c>
      <c r="C114" s="59" t="s">
        <v>584</v>
      </c>
      <c r="D114" s="58" t="s">
        <v>454</v>
      </c>
      <c r="E114" s="59" t="s">
        <v>563</v>
      </c>
      <c r="F114" s="58" t="s">
        <v>386</v>
      </c>
      <c r="G114" s="59" t="s">
        <v>470</v>
      </c>
      <c r="H114" s="58" t="s">
        <v>375</v>
      </c>
      <c r="I114" s="59" t="s">
        <v>575</v>
      </c>
      <c r="J114" s="58" t="s">
        <v>334</v>
      </c>
      <c r="K114" s="58" t="s">
        <v>0</v>
      </c>
    </row>
    <row r="115" spans="1:11" x14ac:dyDescent="0.25">
      <c r="A115" s="55" t="str">
        <f t="shared" si="1"/>
        <v>000210000005</v>
      </c>
      <c r="B115" s="58" t="s">
        <v>18</v>
      </c>
      <c r="C115" s="59" t="s">
        <v>586</v>
      </c>
      <c r="D115" s="58" t="s">
        <v>522</v>
      </c>
      <c r="E115" s="59" t="s">
        <v>568</v>
      </c>
      <c r="F115" s="58" t="s">
        <v>329</v>
      </c>
      <c r="G115" s="59" t="s">
        <v>585</v>
      </c>
      <c r="H115" s="58" t="s">
        <v>452</v>
      </c>
      <c r="I115" s="59" t="s">
        <v>532</v>
      </c>
      <c r="J115" s="58" t="s">
        <v>334</v>
      </c>
      <c r="K115" s="58" t="s">
        <v>0</v>
      </c>
    </row>
    <row r="116" spans="1:11" x14ac:dyDescent="0.25">
      <c r="A116" s="55" t="str">
        <f t="shared" si="1"/>
        <v>000210040005</v>
      </c>
      <c r="B116" s="58" t="s">
        <v>18</v>
      </c>
      <c r="C116" s="59" t="s">
        <v>586</v>
      </c>
      <c r="D116" s="58" t="s">
        <v>522</v>
      </c>
      <c r="E116" s="59" t="s">
        <v>568</v>
      </c>
      <c r="F116" s="58" t="s">
        <v>382</v>
      </c>
      <c r="G116" s="59" t="s">
        <v>444</v>
      </c>
      <c r="H116" s="58" t="s">
        <v>452</v>
      </c>
      <c r="I116" s="59" t="s">
        <v>532</v>
      </c>
      <c r="J116" s="58" t="s">
        <v>334</v>
      </c>
      <c r="K116" s="58" t="s">
        <v>429</v>
      </c>
    </row>
    <row r="117" spans="1:11" x14ac:dyDescent="0.25">
      <c r="A117" s="55" t="str">
        <f t="shared" si="1"/>
        <v>000210050005</v>
      </c>
      <c r="B117" s="58" t="s">
        <v>18</v>
      </c>
      <c r="C117" s="59" t="s">
        <v>586</v>
      </c>
      <c r="D117" s="58" t="s">
        <v>522</v>
      </c>
      <c r="E117" s="59" t="s">
        <v>568</v>
      </c>
      <c r="F117" s="58" t="s">
        <v>385</v>
      </c>
      <c r="G117" s="59" t="s">
        <v>469</v>
      </c>
      <c r="H117" s="58" t="s">
        <v>452</v>
      </c>
      <c r="I117" s="59" t="s">
        <v>532</v>
      </c>
      <c r="J117" s="58" t="s">
        <v>334</v>
      </c>
      <c r="K117" s="58" t="s">
        <v>0</v>
      </c>
    </row>
    <row r="118" spans="1:11" x14ac:dyDescent="0.25">
      <c r="A118" s="55" t="str">
        <f t="shared" si="1"/>
        <v>000210060005</v>
      </c>
      <c r="B118" s="58" t="s">
        <v>18</v>
      </c>
      <c r="C118" s="59" t="s">
        <v>586</v>
      </c>
      <c r="D118" s="58" t="s">
        <v>522</v>
      </c>
      <c r="E118" s="59" t="s">
        <v>568</v>
      </c>
      <c r="F118" s="58" t="s">
        <v>386</v>
      </c>
      <c r="G118" s="59" t="s">
        <v>470</v>
      </c>
      <c r="H118" s="58" t="s">
        <v>452</v>
      </c>
      <c r="I118" s="59" t="s">
        <v>532</v>
      </c>
      <c r="J118" s="58" t="s">
        <v>334</v>
      </c>
      <c r="K118" s="58" t="s">
        <v>0</v>
      </c>
    </row>
    <row r="119" spans="1:11" x14ac:dyDescent="0.25">
      <c r="A119" s="55" t="str">
        <f t="shared" si="1"/>
        <v>000110140003</v>
      </c>
      <c r="B119" s="58" t="s">
        <v>19</v>
      </c>
      <c r="C119" s="59" t="s">
        <v>574</v>
      </c>
      <c r="D119" s="58" t="s">
        <v>454</v>
      </c>
      <c r="E119" s="59" t="s">
        <v>563</v>
      </c>
      <c r="F119" s="58" t="s">
        <v>401</v>
      </c>
      <c r="G119" s="59" t="s">
        <v>484</v>
      </c>
      <c r="H119" s="58" t="s">
        <v>375</v>
      </c>
      <c r="I119" s="59" t="s">
        <v>575</v>
      </c>
      <c r="J119" s="58" t="s">
        <v>428</v>
      </c>
      <c r="K119" s="58" t="s">
        <v>429</v>
      </c>
    </row>
    <row r="120" spans="1:11" x14ac:dyDescent="0.25">
      <c r="A120" s="55" t="str">
        <f t="shared" si="1"/>
        <v>000210020043</v>
      </c>
      <c r="B120" s="58" t="s">
        <v>20</v>
      </c>
      <c r="C120" s="59" t="s">
        <v>587</v>
      </c>
      <c r="D120" s="58" t="s">
        <v>522</v>
      </c>
      <c r="E120" s="59" t="s">
        <v>568</v>
      </c>
      <c r="F120" s="58" t="s">
        <v>380</v>
      </c>
      <c r="G120" s="59" t="s">
        <v>467</v>
      </c>
      <c r="H120" s="58" t="s">
        <v>588</v>
      </c>
      <c r="I120" s="59" t="s">
        <v>589</v>
      </c>
      <c r="J120" s="58" t="s">
        <v>328</v>
      </c>
      <c r="K120" s="58" t="s">
        <v>0</v>
      </c>
    </row>
    <row r="121" spans="1:11" x14ac:dyDescent="0.25">
      <c r="A121" s="55" t="str">
        <f t="shared" si="1"/>
        <v>000210030043</v>
      </c>
      <c r="B121" s="58" t="s">
        <v>20</v>
      </c>
      <c r="C121" s="59" t="s">
        <v>587</v>
      </c>
      <c r="D121" s="58" t="s">
        <v>522</v>
      </c>
      <c r="E121" s="59" t="s">
        <v>568</v>
      </c>
      <c r="F121" s="58" t="s">
        <v>381</v>
      </c>
      <c r="G121" s="59" t="s">
        <v>468</v>
      </c>
      <c r="H121" s="58" t="s">
        <v>588</v>
      </c>
      <c r="I121" s="59" t="s">
        <v>589</v>
      </c>
      <c r="J121" s="58" t="s">
        <v>328</v>
      </c>
      <c r="K121" s="58" t="s">
        <v>0</v>
      </c>
    </row>
    <row r="122" spans="1:11" x14ac:dyDescent="0.25">
      <c r="A122" s="55" t="str">
        <f t="shared" si="1"/>
        <v>000210040043</v>
      </c>
      <c r="B122" s="58" t="s">
        <v>20</v>
      </c>
      <c r="C122" s="59" t="s">
        <v>587</v>
      </c>
      <c r="D122" s="58" t="s">
        <v>522</v>
      </c>
      <c r="E122" s="59" t="s">
        <v>568</v>
      </c>
      <c r="F122" s="58" t="s">
        <v>382</v>
      </c>
      <c r="G122" s="59" t="s">
        <v>444</v>
      </c>
      <c r="H122" s="58" t="s">
        <v>588</v>
      </c>
      <c r="I122" s="59" t="s">
        <v>589</v>
      </c>
      <c r="J122" s="58" t="s">
        <v>328</v>
      </c>
      <c r="K122" s="58" t="s">
        <v>429</v>
      </c>
    </row>
    <row r="123" spans="1:11" x14ac:dyDescent="0.25">
      <c r="A123" s="55" t="str">
        <f t="shared" si="1"/>
        <v>000210050043</v>
      </c>
      <c r="B123" s="58" t="s">
        <v>20</v>
      </c>
      <c r="C123" s="59" t="s">
        <v>587</v>
      </c>
      <c r="D123" s="58" t="s">
        <v>522</v>
      </c>
      <c r="E123" s="59" t="s">
        <v>568</v>
      </c>
      <c r="F123" s="58" t="s">
        <v>385</v>
      </c>
      <c r="G123" s="59" t="s">
        <v>469</v>
      </c>
      <c r="H123" s="58" t="s">
        <v>588</v>
      </c>
      <c r="I123" s="59" t="s">
        <v>589</v>
      </c>
      <c r="J123" s="58" t="s">
        <v>328</v>
      </c>
      <c r="K123" s="58" t="s">
        <v>0</v>
      </c>
    </row>
    <row r="124" spans="1:11" x14ac:dyDescent="0.25">
      <c r="A124" s="55" t="str">
        <f t="shared" si="1"/>
        <v>000210060043</v>
      </c>
      <c r="B124" s="58" t="s">
        <v>20</v>
      </c>
      <c r="C124" s="59" t="s">
        <v>587</v>
      </c>
      <c r="D124" s="58" t="s">
        <v>522</v>
      </c>
      <c r="E124" s="59" t="s">
        <v>568</v>
      </c>
      <c r="F124" s="58" t="s">
        <v>386</v>
      </c>
      <c r="G124" s="59" t="s">
        <v>470</v>
      </c>
      <c r="H124" s="58" t="s">
        <v>588</v>
      </c>
      <c r="I124" s="59" t="s">
        <v>589</v>
      </c>
      <c r="J124" s="58" t="s">
        <v>328</v>
      </c>
      <c r="K124" s="58" t="s">
        <v>0</v>
      </c>
    </row>
    <row r="125" spans="1:11" x14ac:dyDescent="0.25">
      <c r="A125" s="55" t="str">
        <f t="shared" si="1"/>
        <v>000210120043</v>
      </c>
      <c r="B125" s="58" t="s">
        <v>20</v>
      </c>
      <c r="C125" s="59" t="s">
        <v>587</v>
      </c>
      <c r="D125" s="58" t="s">
        <v>522</v>
      </c>
      <c r="E125" s="59" t="s">
        <v>568</v>
      </c>
      <c r="F125" s="58" t="s">
        <v>392</v>
      </c>
      <c r="G125" s="59" t="s">
        <v>471</v>
      </c>
      <c r="H125" s="58" t="s">
        <v>588</v>
      </c>
      <c r="I125" s="59" t="s">
        <v>589</v>
      </c>
      <c r="J125" s="58" t="s">
        <v>328</v>
      </c>
      <c r="K125" s="58" t="s">
        <v>0</v>
      </c>
    </row>
    <row r="126" spans="1:11" x14ac:dyDescent="0.25">
      <c r="A126" s="55" t="str">
        <f t="shared" si="1"/>
        <v>000210130043</v>
      </c>
      <c r="B126" s="58" t="s">
        <v>20</v>
      </c>
      <c r="C126" s="59" t="s">
        <v>587</v>
      </c>
      <c r="D126" s="58" t="s">
        <v>522</v>
      </c>
      <c r="E126" s="59" t="s">
        <v>568</v>
      </c>
      <c r="F126" s="58" t="s">
        <v>393</v>
      </c>
      <c r="G126" s="59" t="s">
        <v>472</v>
      </c>
      <c r="H126" s="58" t="s">
        <v>588</v>
      </c>
      <c r="I126" s="59" t="s">
        <v>589</v>
      </c>
      <c r="J126" s="58" t="s">
        <v>328</v>
      </c>
      <c r="K126" s="58" t="s">
        <v>0</v>
      </c>
    </row>
    <row r="127" spans="1:11" x14ac:dyDescent="0.25">
      <c r="A127" s="55" t="str">
        <f t="shared" si="1"/>
        <v>001410040042</v>
      </c>
      <c r="B127" s="58" t="s">
        <v>252</v>
      </c>
      <c r="C127" s="59" t="s">
        <v>590</v>
      </c>
      <c r="D127" s="58" t="s">
        <v>460</v>
      </c>
      <c r="E127" s="59" t="s">
        <v>577</v>
      </c>
      <c r="F127" s="58" t="s">
        <v>382</v>
      </c>
      <c r="G127" s="59" t="s">
        <v>444</v>
      </c>
      <c r="H127" s="58" t="s">
        <v>578</v>
      </c>
      <c r="I127" s="59" t="s">
        <v>579</v>
      </c>
      <c r="J127" s="58" t="s">
        <v>331</v>
      </c>
      <c r="K127" s="58" t="s">
        <v>429</v>
      </c>
    </row>
    <row r="128" spans="1:11" x14ac:dyDescent="0.25">
      <c r="A128" s="55" t="str">
        <f t="shared" si="1"/>
        <v>001410050042</v>
      </c>
      <c r="B128" s="58" t="s">
        <v>252</v>
      </c>
      <c r="C128" s="59" t="s">
        <v>590</v>
      </c>
      <c r="D128" s="58" t="s">
        <v>460</v>
      </c>
      <c r="E128" s="59" t="s">
        <v>577</v>
      </c>
      <c r="F128" s="58" t="s">
        <v>385</v>
      </c>
      <c r="G128" s="59" t="s">
        <v>469</v>
      </c>
      <c r="H128" s="58" t="s">
        <v>578</v>
      </c>
      <c r="I128" s="59" t="s">
        <v>579</v>
      </c>
      <c r="J128" s="58" t="s">
        <v>331</v>
      </c>
      <c r="K128" s="58" t="s">
        <v>0</v>
      </c>
    </row>
    <row r="129" spans="1:11" x14ac:dyDescent="0.25">
      <c r="A129" s="55" t="str">
        <f t="shared" si="1"/>
        <v>001410060042</v>
      </c>
      <c r="B129" s="58" t="s">
        <v>252</v>
      </c>
      <c r="C129" s="59" t="s">
        <v>590</v>
      </c>
      <c r="D129" s="58" t="s">
        <v>460</v>
      </c>
      <c r="E129" s="59" t="s">
        <v>577</v>
      </c>
      <c r="F129" s="58" t="s">
        <v>386</v>
      </c>
      <c r="G129" s="59" t="s">
        <v>470</v>
      </c>
      <c r="H129" s="58" t="s">
        <v>578</v>
      </c>
      <c r="I129" s="59" t="s">
        <v>579</v>
      </c>
      <c r="J129" s="58" t="s">
        <v>331</v>
      </c>
      <c r="K129" s="58" t="s">
        <v>0</v>
      </c>
    </row>
    <row r="130" spans="1:11" x14ac:dyDescent="0.25">
      <c r="A130" s="55" t="str">
        <f t="shared" si="1"/>
        <v>000110010003</v>
      </c>
      <c r="B130" s="58" t="s">
        <v>21</v>
      </c>
      <c r="C130" s="59" t="s">
        <v>591</v>
      </c>
      <c r="D130" s="58" t="s">
        <v>454</v>
      </c>
      <c r="E130" s="59" t="s">
        <v>563</v>
      </c>
      <c r="F130" s="58" t="s">
        <v>338</v>
      </c>
      <c r="G130" s="59" t="s">
        <v>489</v>
      </c>
      <c r="H130" s="58" t="s">
        <v>375</v>
      </c>
      <c r="I130" s="59" t="s">
        <v>575</v>
      </c>
      <c r="J130" s="58" t="s">
        <v>428</v>
      </c>
      <c r="K130" s="58" t="s">
        <v>429</v>
      </c>
    </row>
    <row r="131" spans="1:11" x14ac:dyDescent="0.25">
      <c r="A131" s="55" t="str">
        <f t="shared" si="1"/>
        <v>000210010005</v>
      </c>
      <c r="B131" s="58" t="s">
        <v>22</v>
      </c>
      <c r="C131" s="59" t="s">
        <v>592</v>
      </c>
      <c r="D131" s="58" t="s">
        <v>522</v>
      </c>
      <c r="E131" s="59" t="s">
        <v>568</v>
      </c>
      <c r="F131" s="58" t="s">
        <v>338</v>
      </c>
      <c r="G131" s="59" t="s">
        <v>489</v>
      </c>
      <c r="H131" s="58" t="s">
        <v>452</v>
      </c>
      <c r="I131" s="59" t="s">
        <v>532</v>
      </c>
      <c r="J131" s="58" t="s">
        <v>428</v>
      </c>
      <c r="K131" s="58" t="s">
        <v>429</v>
      </c>
    </row>
    <row r="132" spans="1:11" x14ac:dyDescent="0.25">
      <c r="A132" s="55" t="str">
        <f t="shared" ref="A132:A195" si="2">D132&amp;F132&amp;H132</f>
        <v>000110010044</v>
      </c>
      <c r="B132" s="58" t="s">
        <v>23</v>
      </c>
      <c r="C132" s="59" t="s">
        <v>593</v>
      </c>
      <c r="D132" s="58" t="s">
        <v>454</v>
      </c>
      <c r="E132" s="59" t="s">
        <v>563</v>
      </c>
      <c r="F132" s="58" t="s">
        <v>338</v>
      </c>
      <c r="G132" s="59" t="s">
        <v>489</v>
      </c>
      <c r="H132" s="58" t="s">
        <v>594</v>
      </c>
      <c r="I132" s="59" t="s">
        <v>593</v>
      </c>
      <c r="J132" s="58" t="s">
        <v>428</v>
      </c>
      <c r="K132" s="58" t="s">
        <v>429</v>
      </c>
    </row>
    <row r="133" spans="1:11" x14ac:dyDescent="0.25">
      <c r="A133" s="55" t="str">
        <f t="shared" si="2"/>
        <v>000210090009</v>
      </c>
      <c r="B133" s="58" t="s">
        <v>24</v>
      </c>
      <c r="C133" s="59" t="s">
        <v>595</v>
      </c>
      <c r="D133" s="58" t="s">
        <v>522</v>
      </c>
      <c r="E133" s="59" t="s">
        <v>568</v>
      </c>
      <c r="F133" s="58" t="s">
        <v>335</v>
      </c>
      <c r="G133" s="59" t="s">
        <v>530</v>
      </c>
      <c r="H133" s="58" t="s">
        <v>458</v>
      </c>
      <c r="I133" s="59" t="s">
        <v>537</v>
      </c>
      <c r="J133" s="58" t="s">
        <v>428</v>
      </c>
      <c r="K133" s="58" t="s">
        <v>429</v>
      </c>
    </row>
    <row r="134" spans="1:11" x14ac:dyDescent="0.25">
      <c r="A134" s="55" t="str">
        <f t="shared" si="2"/>
        <v>000410010025</v>
      </c>
      <c r="B134" s="58" t="s">
        <v>28</v>
      </c>
      <c r="C134" s="59" t="s">
        <v>596</v>
      </c>
      <c r="D134" s="58" t="s">
        <v>528</v>
      </c>
      <c r="E134" s="59" t="s">
        <v>597</v>
      </c>
      <c r="F134" s="58" t="s">
        <v>338</v>
      </c>
      <c r="G134" s="59" t="s">
        <v>489</v>
      </c>
      <c r="H134" s="58" t="s">
        <v>409</v>
      </c>
      <c r="I134" s="59" t="s">
        <v>540</v>
      </c>
      <c r="J134" s="58" t="s">
        <v>428</v>
      </c>
      <c r="K134" s="58" t="s">
        <v>429</v>
      </c>
    </row>
    <row r="135" spans="1:11" x14ac:dyDescent="0.25">
      <c r="A135" s="55" t="str">
        <f t="shared" si="2"/>
        <v>000410100025</v>
      </c>
      <c r="B135" s="58" t="s">
        <v>598</v>
      </c>
      <c r="C135" s="59" t="s">
        <v>599</v>
      </c>
      <c r="D135" s="58" t="s">
        <v>528</v>
      </c>
      <c r="E135" s="59" t="s">
        <v>597</v>
      </c>
      <c r="F135" s="58" t="s">
        <v>389</v>
      </c>
      <c r="G135" s="59" t="s">
        <v>441</v>
      </c>
      <c r="H135" s="58" t="s">
        <v>409</v>
      </c>
      <c r="I135" s="59" t="s">
        <v>540</v>
      </c>
      <c r="J135" s="58" t="s">
        <v>428</v>
      </c>
      <c r="K135" s="58" t="s">
        <v>429</v>
      </c>
    </row>
    <row r="136" spans="1:11" x14ac:dyDescent="0.25">
      <c r="A136" s="55" t="str">
        <f t="shared" si="2"/>
        <v>001510020035</v>
      </c>
      <c r="B136" s="58" t="s">
        <v>600</v>
      </c>
      <c r="C136" s="59" t="s">
        <v>601</v>
      </c>
      <c r="D136" s="58" t="s">
        <v>602</v>
      </c>
      <c r="E136" s="59" t="s">
        <v>603</v>
      </c>
      <c r="F136" s="58" t="s">
        <v>380</v>
      </c>
      <c r="G136" s="59" t="s">
        <v>467</v>
      </c>
      <c r="H136" s="58" t="s">
        <v>403</v>
      </c>
      <c r="I136" s="59" t="s">
        <v>604</v>
      </c>
      <c r="J136" s="58" t="s">
        <v>334</v>
      </c>
      <c r="K136" s="58" t="s">
        <v>0</v>
      </c>
    </row>
    <row r="137" spans="1:11" x14ac:dyDescent="0.25">
      <c r="A137" s="55" t="str">
        <f t="shared" si="2"/>
        <v>001510030035</v>
      </c>
      <c r="B137" s="58" t="s">
        <v>600</v>
      </c>
      <c r="C137" s="59" t="s">
        <v>601</v>
      </c>
      <c r="D137" s="58" t="s">
        <v>602</v>
      </c>
      <c r="E137" s="59" t="s">
        <v>603</v>
      </c>
      <c r="F137" s="58" t="s">
        <v>381</v>
      </c>
      <c r="G137" s="59" t="s">
        <v>468</v>
      </c>
      <c r="H137" s="58" t="s">
        <v>403</v>
      </c>
      <c r="I137" s="59" t="s">
        <v>604</v>
      </c>
      <c r="J137" s="58" t="s">
        <v>334</v>
      </c>
      <c r="K137" s="58" t="s">
        <v>0</v>
      </c>
    </row>
    <row r="138" spans="1:11" x14ac:dyDescent="0.25">
      <c r="A138" s="55" t="str">
        <f t="shared" si="2"/>
        <v>001510120035</v>
      </c>
      <c r="B138" s="58" t="s">
        <v>600</v>
      </c>
      <c r="C138" s="59" t="s">
        <v>601</v>
      </c>
      <c r="D138" s="58" t="s">
        <v>602</v>
      </c>
      <c r="E138" s="59" t="s">
        <v>603</v>
      </c>
      <c r="F138" s="58" t="s">
        <v>392</v>
      </c>
      <c r="G138" s="59" t="s">
        <v>471</v>
      </c>
      <c r="H138" s="58" t="s">
        <v>403</v>
      </c>
      <c r="I138" s="59" t="s">
        <v>604</v>
      </c>
      <c r="J138" s="58" t="s">
        <v>334</v>
      </c>
      <c r="K138" s="58" t="s">
        <v>429</v>
      </c>
    </row>
    <row r="139" spans="1:11" x14ac:dyDescent="0.25">
      <c r="A139" s="55" t="str">
        <f t="shared" si="2"/>
        <v>001510130035</v>
      </c>
      <c r="B139" s="58" t="s">
        <v>600</v>
      </c>
      <c r="C139" s="59" t="s">
        <v>601</v>
      </c>
      <c r="D139" s="58" t="s">
        <v>602</v>
      </c>
      <c r="E139" s="59" t="s">
        <v>603</v>
      </c>
      <c r="F139" s="58" t="s">
        <v>393</v>
      </c>
      <c r="G139" s="59" t="s">
        <v>472</v>
      </c>
      <c r="H139" s="58" t="s">
        <v>403</v>
      </c>
      <c r="I139" s="59" t="s">
        <v>604</v>
      </c>
      <c r="J139" s="58" t="s">
        <v>334</v>
      </c>
      <c r="K139" s="58" t="s">
        <v>0</v>
      </c>
    </row>
    <row r="140" spans="1:11" x14ac:dyDescent="0.25">
      <c r="A140" s="55" t="str">
        <f t="shared" si="2"/>
        <v>000410020012</v>
      </c>
      <c r="B140" s="58" t="s">
        <v>25</v>
      </c>
      <c r="C140" s="59" t="s">
        <v>474</v>
      </c>
      <c r="D140" s="58" t="s">
        <v>528</v>
      </c>
      <c r="E140" s="59" t="s">
        <v>597</v>
      </c>
      <c r="F140" s="58" t="s">
        <v>380</v>
      </c>
      <c r="G140" s="59" t="s">
        <v>467</v>
      </c>
      <c r="H140" s="58" t="s">
        <v>376</v>
      </c>
      <c r="I140" s="59" t="s">
        <v>545</v>
      </c>
      <c r="J140" s="58" t="s">
        <v>332</v>
      </c>
      <c r="K140" s="58" t="s">
        <v>0</v>
      </c>
    </row>
    <row r="141" spans="1:11" x14ac:dyDescent="0.25">
      <c r="A141" s="55" t="str">
        <f t="shared" si="2"/>
        <v>000410030012</v>
      </c>
      <c r="B141" s="58" t="s">
        <v>25</v>
      </c>
      <c r="C141" s="59" t="s">
        <v>474</v>
      </c>
      <c r="D141" s="58" t="s">
        <v>528</v>
      </c>
      <c r="E141" s="59" t="s">
        <v>597</v>
      </c>
      <c r="F141" s="58" t="s">
        <v>381</v>
      </c>
      <c r="G141" s="59" t="s">
        <v>468</v>
      </c>
      <c r="H141" s="58" t="s">
        <v>376</v>
      </c>
      <c r="I141" s="59" t="s">
        <v>545</v>
      </c>
      <c r="J141" s="58" t="s">
        <v>332</v>
      </c>
      <c r="K141" s="58" t="s">
        <v>0</v>
      </c>
    </row>
    <row r="142" spans="1:11" x14ac:dyDescent="0.25">
      <c r="A142" s="55" t="str">
        <f t="shared" si="2"/>
        <v>000410080012</v>
      </c>
      <c r="B142" s="58" t="s">
        <v>25</v>
      </c>
      <c r="C142" s="59" t="s">
        <v>474</v>
      </c>
      <c r="D142" s="58" t="s">
        <v>528</v>
      </c>
      <c r="E142" s="59" t="s">
        <v>597</v>
      </c>
      <c r="F142" s="58" t="s">
        <v>398</v>
      </c>
      <c r="G142" s="59" t="s">
        <v>605</v>
      </c>
      <c r="H142" s="58" t="s">
        <v>376</v>
      </c>
      <c r="I142" s="59" t="s">
        <v>545</v>
      </c>
      <c r="J142" s="58" t="s">
        <v>332</v>
      </c>
      <c r="K142" s="58" t="s">
        <v>0</v>
      </c>
    </row>
    <row r="143" spans="1:11" x14ac:dyDescent="0.25">
      <c r="A143" s="55" t="str">
        <f t="shared" si="2"/>
        <v>000410120012</v>
      </c>
      <c r="B143" s="58" t="s">
        <v>25</v>
      </c>
      <c r="C143" s="59" t="s">
        <v>474</v>
      </c>
      <c r="D143" s="58" t="s">
        <v>528</v>
      </c>
      <c r="E143" s="59" t="s">
        <v>597</v>
      </c>
      <c r="F143" s="58" t="s">
        <v>392</v>
      </c>
      <c r="G143" s="59" t="s">
        <v>471</v>
      </c>
      <c r="H143" s="58" t="s">
        <v>376</v>
      </c>
      <c r="I143" s="59" t="s">
        <v>545</v>
      </c>
      <c r="J143" s="58" t="s">
        <v>332</v>
      </c>
      <c r="K143" s="58" t="s">
        <v>429</v>
      </c>
    </row>
    <row r="144" spans="1:11" x14ac:dyDescent="0.25">
      <c r="A144" s="55" t="str">
        <f t="shared" si="2"/>
        <v>000410130012</v>
      </c>
      <c r="B144" s="58" t="s">
        <v>25</v>
      </c>
      <c r="C144" s="59" t="s">
        <v>474</v>
      </c>
      <c r="D144" s="58" t="s">
        <v>528</v>
      </c>
      <c r="E144" s="59" t="s">
        <v>597</v>
      </c>
      <c r="F144" s="58" t="s">
        <v>393</v>
      </c>
      <c r="G144" s="59" t="s">
        <v>472</v>
      </c>
      <c r="H144" s="58" t="s">
        <v>376</v>
      </c>
      <c r="I144" s="59" t="s">
        <v>545</v>
      </c>
      <c r="J144" s="58" t="s">
        <v>332</v>
      </c>
      <c r="K144" s="58" t="s">
        <v>0</v>
      </c>
    </row>
    <row r="145" spans="1:11" x14ac:dyDescent="0.25">
      <c r="A145" s="55" t="str">
        <f t="shared" si="2"/>
        <v>000410140012</v>
      </c>
      <c r="B145" s="58" t="s">
        <v>29</v>
      </c>
      <c r="C145" s="59" t="s">
        <v>606</v>
      </c>
      <c r="D145" s="58" t="s">
        <v>528</v>
      </c>
      <c r="E145" s="59" t="s">
        <v>597</v>
      </c>
      <c r="F145" s="58" t="s">
        <v>401</v>
      </c>
      <c r="G145" s="59" t="s">
        <v>484</v>
      </c>
      <c r="H145" s="58" t="s">
        <v>376</v>
      </c>
      <c r="I145" s="59" t="s">
        <v>545</v>
      </c>
      <c r="J145" s="58" t="s">
        <v>428</v>
      </c>
      <c r="K145" s="58" t="s">
        <v>429</v>
      </c>
    </row>
    <row r="146" spans="1:11" x14ac:dyDescent="0.25">
      <c r="A146" s="55" t="str">
        <f t="shared" si="2"/>
        <v>000410100012</v>
      </c>
      <c r="B146" s="58" t="s">
        <v>26</v>
      </c>
      <c r="C146" s="59" t="s">
        <v>607</v>
      </c>
      <c r="D146" s="58" t="s">
        <v>528</v>
      </c>
      <c r="E146" s="59" t="s">
        <v>597</v>
      </c>
      <c r="F146" s="58" t="s">
        <v>389</v>
      </c>
      <c r="G146" s="59" t="s">
        <v>441</v>
      </c>
      <c r="H146" s="58" t="s">
        <v>376</v>
      </c>
      <c r="I146" s="59" t="s">
        <v>545</v>
      </c>
      <c r="J146" s="58" t="s">
        <v>428</v>
      </c>
      <c r="K146" s="58" t="s">
        <v>429</v>
      </c>
    </row>
    <row r="147" spans="1:11" x14ac:dyDescent="0.25">
      <c r="A147" s="55" t="str">
        <f t="shared" si="2"/>
        <v>001510040035</v>
      </c>
      <c r="B147" s="58" t="s">
        <v>253</v>
      </c>
      <c r="C147" s="59" t="s">
        <v>608</v>
      </c>
      <c r="D147" s="58" t="s">
        <v>602</v>
      </c>
      <c r="E147" s="59" t="s">
        <v>603</v>
      </c>
      <c r="F147" s="58" t="s">
        <v>382</v>
      </c>
      <c r="G147" s="59" t="s">
        <v>444</v>
      </c>
      <c r="H147" s="58" t="s">
        <v>403</v>
      </c>
      <c r="I147" s="59" t="s">
        <v>604</v>
      </c>
      <c r="J147" s="58" t="s">
        <v>331</v>
      </c>
      <c r="K147" s="58" t="s">
        <v>429</v>
      </c>
    </row>
    <row r="148" spans="1:11" x14ac:dyDescent="0.25">
      <c r="A148" s="55" t="str">
        <f t="shared" si="2"/>
        <v>001510050035</v>
      </c>
      <c r="B148" s="58" t="s">
        <v>253</v>
      </c>
      <c r="C148" s="59" t="s">
        <v>608</v>
      </c>
      <c r="D148" s="58" t="s">
        <v>602</v>
      </c>
      <c r="E148" s="59" t="s">
        <v>603</v>
      </c>
      <c r="F148" s="58" t="s">
        <v>385</v>
      </c>
      <c r="G148" s="59" t="s">
        <v>469</v>
      </c>
      <c r="H148" s="58" t="s">
        <v>403</v>
      </c>
      <c r="I148" s="59" t="s">
        <v>604</v>
      </c>
      <c r="J148" s="58" t="s">
        <v>331</v>
      </c>
      <c r="K148" s="58" t="s">
        <v>0</v>
      </c>
    </row>
    <row r="149" spans="1:11" x14ac:dyDescent="0.25">
      <c r="A149" s="55" t="str">
        <f t="shared" si="2"/>
        <v>001510060035</v>
      </c>
      <c r="B149" s="58" t="s">
        <v>253</v>
      </c>
      <c r="C149" s="59" t="s">
        <v>608</v>
      </c>
      <c r="D149" s="58" t="s">
        <v>602</v>
      </c>
      <c r="E149" s="59" t="s">
        <v>603</v>
      </c>
      <c r="F149" s="58" t="s">
        <v>386</v>
      </c>
      <c r="G149" s="59" t="s">
        <v>470</v>
      </c>
      <c r="H149" s="58" t="s">
        <v>403</v>
      </c>
      <c r="I149" s="59" t="s">
        <v>604</v>
      </c>
      <c r="J149" s="58" t="s">
        <v>331</v>
      </c>
      <c r="K149" s="58" t="s">
        <v>0</v>
      </c>
    </row>
    <row r="150" spans="1:11" x14ac:dyDescent="0.25">
      <c r="A150" s="55" t="str">
        <f t="shared" si="2"/>
        <v>000410040012</v>
      </c>
      <c r="B150" s="58" t="s">
        <v>27</v>
      </c>
      <c r="C150" s="59" t="s">
        <v>609</v>
      </c>
      <c r="D150" s="58" t="s">
        <v>528</v>
      </c>
      <c r="E150" s="59" t="s">
        <v>597</v>
      </c>
      <c r="F150" s="58" t="s">
        <v>382</v>
      </c>
      <c r="G150" s="59" t="s">
        <v>444</v>
      </c>
      <c r="H150" s="58" t="s">
        <v>376</v>
      </c>
      <c r="I150" s="59" t="s">
        <v>545</v>
      </c>
      <c r="J150" s="58" t="s">
        <v>331</v>
      </c>
      <c r="K150" s="58" t="s">
        <v>429</v>
      </c>
    </row>
    <row r="151" spans="1:11" x14ac:dyDescent="0.25">
      <c r="A151" s="55" t="str">
        <f t="shared" si="2"/>
        <v>000410050012</v>
      </c>
      <c r="B151" s="58" t="s">
        <v>27</v>
      </c>
      <c r="C151" s="59" t="s">
        <v>609</v>
      </c>
      <c r="D151" s="58" t="s">
        <v>528</v>
      </c>
      <c r="E151" s="59" t="s">
        <v>597</v>
      </c>
      <c r="F151" s="58" t="s">
        <v>385</v>
      </c>
      <c r="G151" s="59" t="s">
        <v>469</v>
      </c>
      <c r="H151" s="58" t="s">
        <v>376</v>
      </c>
      <c r="I151" s="59" t="s">
        <v>545</v>
      </c>
      <c r="J151" s="58" t="s">
        <v>331</v>
      </c>
      <c r="K151" s="58" t="s">
        <v>0</v>
      </c>
    </row>
    <row r="152" spans="1:11" x14ac:dyDescent="0.25">
      <c r="A152" s="55" t="str">
        <f t="shared" si="2"/>
        <v>000410060012</v>
      </c>
      <c r="B152" s="58" t="s">
        <v>27</v>
      </c>
      <c r="C152" s="59" t="s">
        <v>609</v>
      </c>
      <c r="D152" s="58" t="s">
        <v>528</v>
      </c>
      <c r="E152" s="59" t="s">
        <v>597</v>
      </c>
      <c r="F152" s="58" t="s">
        <v>386</v>
      </c>
      <c r="G152" s="59" t="s">
        <v>470</v>
      </c>
      <c r="H152" s="58" t="s">
        <v>376</v>
      </c>
      <c r="I152" s="59" t="s">
        <v>545</v>
      </c>
      <c r="J152" s="58" t="s">
        <v>331</v>
      </c>
      <c r="K152" s="58" t="s">
        <v>0</v>
      </c>
    </row>
    <row r="153" spans="1:11" x14ac:dyDescent="0.25">
      <c r="A153" s="55" t="str">
        <f t="shared" si="2"/>
        <v>000410000012</v>
      </c>
      <c r="B153" s="58" t="s">
        <v>610</v>
      </c>
      <c r="C153" s="59" t="s">
        <v>611</v>
      </c>
      <c r="D153" s="58" t="s">
        <v>528</v>
      </c>
      <c r="E153" s="59" t="s">
        <v>597</v>
      </c>
      <c r="F153" s="58" t="s">
        <v>329</v>
      </c>
      <c r="G153" s="59" t="s">
        <v>585</v>
      </c>
      <c r="H153" s="58" t="s">
        <v>376</v>
      </c>
      <c r="I153" s="59" t="s">
        <v>545</v>
      </c>
      <c r="J153" s="58" t="s">
        <v>428</v>
      </c>
      <c r="K153" s="58" t="s">
        <v>429</v>
      </c>
    </row>
    <row r="154" spans="1:11" x14ac:dyDescent="0.25">
      <c r="A154" s="55" t="str">
        <f t="shared" si="2"/>
        <v>001110080300</v>
      </c>
      <c r="B154" s="58" t="s">
        <v>116</v>
      </c>
      <c r="C154" s="59" t="e">
        <v>#N/A</v>
      </c>
      <c r="D154" s="58" t="s">
        <v>387</v>
      </c>
      <c r="E154" s="59" t="s">
        <v>440</v>
      </c>
      <c r="F154" s="58" t="s">
        <v>398</v>
      </c>
      <c r="G154" s="59" t="s">
        <v>605</v>
      </c>
      <c r="H154" s="58" t="s">
        <v>612</v>
      </c>
      <c r="I154" s="59" t="s">
        <v>613</v>
      </c>
      <c r="J154" s="58" t="s">
        <v>428</v>
      </c>
      <c r="K154" s="58" t="s">
        <v>429</v>
      </c>
    </row>
    <row r="155" spans="1:11" x14ac:dyDescent="0.25">
      <c r="A155" s="55" t="str">
        <f t="shared" si="2"/>
        <v>001110080300</v>
      </c>
      <c r="B155" s="58" t="s">
        <v>149</v>
      </c>
      <c r="C155" s="59" t="e">
        <v>#N/A</v>
      </c>
      <c r="D155" s="58" t="s">
        <v>387</v>
      </c>
      <c r="E155" s="59" t="s">
        <v>440</v>
      </c>
      <c r="F155" s="58" t="s">
        <v>398</v>
      </c>
      <c r="G155" s="59" t="s">
        <v>605</v>
      </c>
      <c r="H155" s="58" t="s">
        <v>612</v>
      </c>
      <c r="I155" s="59" t="s">
        <v>613</v>
      </c>
      <c r="J155" s="58" t="s">
        <v>428</v>
      </c>
      <c r="K155" s="58" t="s">
        <v>429</v>
      </c>
    </row>
    <row r="156" spans="1:11" x14ac:dyDescent="0.25">
      <c r="A156" s="55" t="str">
        <f t="shared" si="2"/>
        <v>001110020012</v>
      </c>
      <c r="B156" s="58" t="s">
        <v>124</v>
      </c>
      <c r="C156" s="59" t="s">
        <v>614</v>
      </c>
      <c r="D156" s="58" t="s">
        <v>387</v>
      </c>
      <c r="E156" s="59" t="s">
        <v>440</v>
      </c>
      <c r="F156" s="58" t="s">
        <v>380</v>
      </c>
      <c r="G156" s="59" t="s">
        <v>467</v>
      </c>
      <c r="H156" s="58" t="s">
        <v>376</v>
      </c>
      <c r="I156" s="59" t="s">
        <v>545</v>
      </c>
      <c r="J156" s="58" t="s">
        <v>331</v>
      </c>
      <c r="K156" s="58" t="s">
        <v>429</v>
      </c>
    </row>
    <row r="157" spans="1:11" x14ac:dyDescent="0.25">
      <c r="A157" s="55" t="str">
        <f t="shared" si="2"/>
        <v>001110020052</v>
      </c>
      <c r="B157" s="58" t="s">
        <v>124</v>
      </c>
      <c r="C157" s="59" t="s">
        <v>614</v>
      </c>
      <c r="D157" s="58" t="s">
        <v>387</v>
      </c>
      <c r="E157" s="59" t="s">
        <v>440</v>
      </c>
      <c r="F157" s="58" t="s">
        <v>380</v>
      </c>
      <c r="G157" s="59" t="s">
        <v>467</v>
      </c>
      <c r="H157" s="58" t="s">
        <v>615</v>
      </c>
      <c r="I157" s="59" t="s">
        <v>616</v>
      </c>
      <c r="J157" s="58" t="s">
        <v>331</v>
      </c>
      <c r="K157" s="58" t="s">
        <v>0</v>
      </c>
    </row>
    <row r="158" spans="1:11" x14ac:dyDescent="0.25">
      <c r="A158" s="55" t="str">
        <f t="shared" si="2"/>
        <v>001110020056</v>
      </c>
      <c r="B158" s="58" t="s">
        <v>124</v>
      </c>
      <c r="C158" s="59" t="s">
        <v>614</v>
      </c>
      <c r="D158" s="58" t="s">
        <v>387</v>
      </c>
      <c r="E158" s="59" t="s">
        <v>440</v>
      </c>
      <c r="F158" s="58" t="s">
        <v>380</v>
      </c>
      <c r="G158" s="59" t="s">
        <v>467</v>
      </c>
      <c r="H158" s="58" t="s">
        <v>400</v>
      </c>
      <c r="I158" s="59" t="s">
        <v>617</v>
      </c>
      <c r="J158" s="58" t="s">
        <v>331</v>
      </c>
      <c r="K158" s="58" t="s">
        <v>0</v>
      </c>
    </row>
    <row r="159" spans="1:11" x14ac:dyDescent="0.25">
      <c r="A159" s="55" t="str">
        <f t="shared" si="2"/>
        <v>001210020012</v>
      </c>
      <c r="B159" s="58" t="s">
        <v>126</v>
      </c>
      <c r="C159" s="59" t="s">
        <v>618</v>
      </c>
      <c r="D159" s="58" t="s">
        <v>376</v>
      </c>
      <c r="E159" s="59" t="s">
        <v>619</v>
      </c>
      <c r="F159" s="58" t="s">
        <v>380</v>
      </c>
      <c r="G159" s="59" t="s">
        <v>467</v>
      </c>
      <c r="H159" s="58" t="s">
        <v>376</v>
      </c>
      <c r="I159" s="59" t="s">
        <v>545</v>
      </c>
      <c r="J159" s="58" t="s">
        <v>331</v>
      </c>
      <c r="K159" s="58" t="s">
        <v>429</v>
      </c>
    </row>
    <row r="160" spans="1:11" x14ac:dyDescent="0.25">
      <c r="A160" s="55" t="str">
        <f t="shared" si="2"/>
        <v>001210020052</v>
      </c>
      <c r="B160" s="58" t="s">
        <v>126</v>
      </c>
      <c r="C160" s="59" t="s">
        <v>618</v>
      </c>
      <c r="D160" s="58" t="s">
        <v>376</v>
      </c>
      <c r="E160" s="59" t="s">
        <v>619</v>
      </c>
      <c r="F160" s="58" t="s">
        <v>380</v>
      </c>
      <c r="G160" s="59" t="s">
        <v>467</v>
      </c>
      <c r="H160" s="58" t="s">
        <v>615</v>
      </c>
      <c r="I160" s="59" t="s">
        <v>616</v>
      </c>
      <c r="J160" s="58" t="s">
        <v>331</v>
      </c>
      <c r="K160" s="58" t="s">
        <v>0</v>
      </c>
    </row>
    <row r="161" spans="1:11" x14ac:dyDescent="0.25">
      <c r="A161" s="55" t="str">
        <f t="shared" si="2"/>
        <v>001210020056</v>
      </c>
      <c r="B161" s="58" t="s">
        <v>126</v>
      </c>
      <c r="C161" s="59" t="s">
        <v>618</v>
      </c>
      <c r="D161" s="58" t="s">
        <v>376</v>
      </c>
      <c r="E161" s="59" t="s">
        <v>619</v>
      </c>
      <c r="F161" s="58" t="s">
        <v>380</v>
      </c>
      <c r="G161" s="59" t="s">
        <v>467</v>
      </c>
      <c r="H161" s="58" t="s">
        <v>400</v>
      </c>
      <c r="I161" s="59" t="s">
        <v>617</v>
      </c>
      <c r="J161" s="58" t="s">
        <v>331</v>
      </c>
      <c r="K161" s="58" t="s">
        <v>0</v>
      </c>
    </row>
    <row r="162" spans="1:11" x14ac:dyDescent="0.25">
      <c r="A162" s="55" t="str">
        <f t="shared" si="2"/>
        <v>001110080300</v>
      </c>
      <c r="B162" s="58" t="s">
        <v>121</v>
      </c>
      <c r="C162" s="59" t="e">
        <v>#N/A</v>
      </c>
      <c r="D162" s="58" t="s">
        <v>387</v>
      </c>
      <c r="E162" s="59" t="s">
        <v>440</v>
      </c>
      <c r="F162" s="58" t="s">
        <v>398</v>
      </c>
      <c r="G162" s="59" t="s">
        <v>605</v>
      </c>
      <c r="H162" s="58" t="s">
        <v>612</v>
      </c>
      <c r="I162" s="59" t="s">
        <v>613</v>
      </c>
      <c r="J162" s="58" t="s">
        <v>428</v>
      </c>
      <c r="K162" s="58" t="s">
        <v>429</v>
      </c>
    </row>
    <row r="163" spans="1:11" x14ac:dyDescent="0.25">
      <c r="A163" s="55" t="str">
        <f t="shared" si="2"/>
        <v>003110000012</v>
      </c>
      <c r="B163" s="58" t="s">
        <v>80</v>
      </c>
      <c r="C163" s="59" t="s">
        <v>620</v>
      </c>
      <c r="D163" s="58" t="s">
        <v>407</v>
      </c>
      <c r="E163" s="59" t="s">
        <v>621</v>
      </c>
      <c r="F163" s="58" t="s">
        <v>329</v>
      </c>
      <c r="G163" s="59" t="s">
        <v>585</v>
      </c>
      <c r="H163" s="58" t="s">
        <v>376</v>
      </c>
      <c r="I163" s="59" t="s">
        <v>545</v>
      </c>
      <c r="J163" s="58" t="s">
        <v>428</v>
      </c>
      <c r="K163" s="58" t="s">
        <v>429</v>
      </c>
    </row>
    <row r="164" spans="1:11" x14ac:dyDescent="0.25">
      <c r="A164" s="55" t="str">
        <f t="shared" si="2"/>
        <v>001110080300</v>
      </c>
      <c r="B164" s="58" t="s">
        <v>154</v>
      </c>
      <c r="C164" s="59" t="e">
        <v>#N/A</v>
      </c>
      <c r="D164" s="58" t="s">
        <v>387</v>
      </c>
      <c r="E164" s="59" t="s">
        <v>440</v>
      </c>
      <c r="F164" s="58" t="s">
        <v>398</v>
      </c>
      <c r="G164" s="59" t="s">
        <v>605</v>
      </c>
      <c r="H164" s="58" t="s">
        <v>612</v>
      </c>
      <c r="I164" s="59" t="s">
        <v>613</v>
      </c>
      <c r="J164" s="58" t="s">
        <v>428</v>
      </c>
      <c r="K164" s="58" t="s">
        <v>429</v>
      </c>
    </row>
    <row r="165" spans="1:11" x14ac:dyDescent="0.25">
      <c r="A165" s="55" t="str">
        <f t="shared" si="2"/>
        <v>009310000105</v>
      </c>
      <c r="B165" s="58" t="s">
        <v>157</v>
      </c>
      <c r="C165" s="59" t="s">
        <v>622</v>
      </c>
      <c r="D165" s="58" t="s">
        <v>623</v>
      </c>
      <c r="E165" s="59" t="s">
        <v>622</v>
      </c>
      <c r="F165" s="58" t="s">
        <v>329</v>
      </c>
      <c r="G165" s="59" t="s">
        <v>585</v>
      </c>
      <c r="H165" s="58" t="s">
        <v>426</v>
      </c>
      <c r="I165" s="59" t="s">
        <v>427</v>
      </c>
      <c r="J165" s="58" t="s">
        <v>428</v>
      </c>
      <c r="K165" s="58" t="s">
        <v>429</v>
      </c>
    </row>
    <row r="166" spans="1:11" x14ac:dyDescent="0.25">
      <c r="A166" s="55" t="str">
        <f t="shared" si="2"/>
        <v>009410000105</v>
      </c>
      <c r="B166" s="58" t="s">
        <v>159</v>
      </c>
      <c r="C166" s="59" t="s">
        <v>624</v>
      </c>
      <c r="D166" s="58" t="s">
        <v>625</v>
      </c>
      <c r="E166" s="59" t="s">
        <v>624</v>
      </c>
      <c r="F166" s="58" t="s">
        <v>329</v>
      </c>
      <c r="G166" s="59" t="s">
        <v>585</v>
      </c>
      <c r="H166" s="58" t="s">
        <v>426</v>
      </c>
      <c r="I166" s="59" t="s">
        <v>427</v>
      </c>
      <c r="J166" s="58" t="s">
        <v>428</v>
      </c>
      <c r="K166" s="58" t="s">
        <v>429</v>
      </c>
    </row>
    <row r="167" spans="1:11" x14ac:dyDescent="0.25">
      <c r="A167" s="55" t="str">
        <f t="shared" si="2"/>
        <v>001310020035</v>
      </c>
      <c r="B167" s="58" t="s">
        <v>256</v>
      </c>
      <c r="C167" s="59" t="s">
        <v>626</v>
      </c>
      <c r="D167" s="58" t="s">
        <v>402</v>
      </c>
      <c r="E167" s="59" t="s">
        <v>604</v>
      </c>
      <c r="F167" s="58" t="s">
        <v>380</v>
      </c>
      <c r="G167" s="59" t="s">
        <v>467</v>
      </c>
      <c r="H167" s="58" t="s">
        <v>403</v>
      </c>
      <c r="I167" s="59" t="s">
        <v>604</v>
      </c>
      <c r="J167" s="58" t="s">
        <v>428</v>
      </c>
      <c r="K167" s="58" t="s">
        <v>429</v>
      </c>
    </row>
    <row r="168" spans="1:11" x14ac:dyDescent="0.25">
      <c r="A168" s="55" t="str">
        <f t="shared" si="2"/>
        <v>002110000036</v>
      </c>
      <c r="B168" s="58" t="s">
        <v>160</v>
      </c>
      <c r="C168" s="59" t="s">
        <v>627</v>
      </c>
      <c r="D168" s="58" t="s">
        <v>377</v>
      </c>
      <c r="E168" s="59" t="s">
        <v>628</v>
      </c>
      <c r="F168" s="58" t="s">
        <v>329</v>
      </c>
      <c r="G168" s="59" t="s">
        <v>585</v>
      </c>
      <c r="H168" s="58" t="s">
        <v>408</v>
      </c>
      <c r="I168" s="59" t="s">
        <v>629</v>
      </c>
      <c r="J168" s="58" t="s">
        <v>334</v>
      </c>
      <c r="K168" s="58" t="s">
        <v>0</v>
      </c>
    </row>
    <row r="169" spans="1:11" x14ac:dyDescent="0.25">
      <c r="A169" s="55" t="str">
        <f t="shared" si="2"/>
        <v>002210000036</v>
      </c>
      <c r="B169" s="58" t="s">
        <v>160</v>
      </c>
      <c r="C169" s="59" t="s">
        <v>627</v>
      </c>
      <c r="D169" s="58" t="s">
        <v>378</v>
      </c>
      <c r="E169" s="59" t="s">
        <v>630</v>
      </c>
      <c r="F169" s="58" t="s">
        <v>329</v>
      </c>
      <c r="G169" s="59" t="s">
        <v>585</v>
      </c>
      <c r="H169" s="58" t="s">
        <v>408</v>
      </c>
      <c r="I169" s="59" t="s">
        <v>629</v>
      </c>
      <c r="J169" s="58" t="s">
        <v>334</v>
      </c>
      <c r="K169" s="58" t="s">
        <v>0</v>
      </c>
    </row>
    <row r="170" spans="1:11" x14ac:dyDescent="0.25">
      <c r="A170" s="55" t="str">
        <f t="shared" si="2"/>
        <v>002910000012</v>
      </c>
      <c r="B170" s="58" t="s">
        <v>160</v>
      </c>
      <c r="C170" s="59" t="s">
        <v>627</v>
      </c>
      <c r="D170" s="58" t="s">
        <v>571</v>
      </c>
      <c r="E170" s="59" t="s">
        <v>631</v>
      </c>
      <c r="F170" s="58" t="s">
        <v>329</v>
      </c>
      <c r="G170" s="59" t="s">
        <v>585</v>
      </c>
      <c r="H170" s="58" t="s">
        <v>376</v>
      </c>
      <c r="I170" s="59" t="s">
        <v>545</v>
      </c>
      <c r="J170" s="58" t="s">
        <v>334</v>
      </c>
      <c r="K170" s="58" t="s">
        <v>0</v>
      </c>
    </row>
    <row r="171" spans="1:11" x14ac:dyDescent="0.25">
      <c r="A171" s="55" t="str">
        <f t="shared" si="2"/>
        <v>003010000012</v>
      </c>
      <c r="B171" s="58" t="s">
        <v>160</v>
      </c>
      <c r="C171" s="59" t="s">
        <v>627</v>
      </c>
      <c r="D171" s="58" t="s">
        <v>414</v>
      </c>
      <c r="E171" s="59" t="s">
        <v>632</v>
      </c>
      <c r="F171" s="58" t="s">
        <v>329</v>
      </c>
      <c r="G171" s="59" t="s">
        <v>585</v>
      </c>
      <c r="H171" s="58" t="s">
        <v>376</v>
      </c>
      <c r="I171" s="59" t="s">
        <v>545</v>
      </c>
      <c r="J171" s="58" t="s">
        <v>334</v>
      </c>
      <c r="K171" s="58" t="s">
        <v>429</v>
      </c>
    </row>
    <row r="172" spans="1:11" x14ac:dyDescent="0.25">
      <c r="A172" s="55" t="str">
        <f t="shared" si="2"/>
        <v>001110080300</v>
      </c>
      <c r="B172" s="58" t="s">
        <v>118</v>
      </c>
      <c r="C172" s="59" t="e">
        <v>#N/A</v>
      </c>
      <c r="D172" s="58" t="s">
        <v>387</v>
      </c>
      <c r="E172" s="59" t="s">
        <v>440</v>
      </c>
      <c r="F172" s="58" t="s">
        <v>398</v>
      </c>
      <c r="G172" s="59" t="s">
        <v>605</v>
      </c>
      <c r="H172" s="58" t="s">
        <v>612</v>
      </c>
      <c r="I172" s="59" t="s">
        <v>613</v>
      </c>
      <c r="J172" s="58" t="s">
        <v>428</v>
      </c>
      <c r="K172" s="58" t="s">
        <v>429</v>
      </c>
    </row>
    <row r="173" spans="1:11" x14ac:dyDescent="0.25">
      <c r="A173" s="55" t="str">
        <f t="shared" si="2"/>
        <v>001110080300</v>
      </c>
      <c r="B173" s="58" t="s">
        <v>151</v>
      </c>
      <c r="C173" s="59" t="e">
        <v>#N/A</v>
      </c>
      <c r="D173" s="58" t="s">
        <v>387</v>
      </c>
      <c r="E173" s="59" t="s">
        <v>440</v>
      </c>
      <c r="F173" s="58" t="s">
        <v>398</v>
      </c>
      <c r="G173" s="59" t="s">
        <v>605</v>
      </c>
      <c r="H173" s="58" t="s">
        <v>612</v>
      </c>
      <c r="I173" s="59" t="s">
        <v>613</v>
      </c>
      <c r="J173" s="58" t="s">
        <v>428</v>
      </c>
      <c r="K173" s="58" t="s">
        <v>429</v>
      </c>
    </row>
    <row r="174" spans="1:11" x14ac:dyDescent="0.25">
      <c r="A174" s="55" t="str">
        <f t="shared" si="2"/>
        <v>000310020012</v>
      </c>
      <c r="B174" s="58" t="s">
        <v>197</v>
      </c>
      <c r="C174" s="59" t="s">
        <v>633</v>
      </c>
      <c r="D174" s="58" t="s">
        <v>375</v>
      </c>
      <c r="E174" s="59" t="s">
        <v>634</v>
      </c>
      <c r="F174" s="58" t="s">
        <v>380</v>
      </c>
      <c r="G174" s="59" t="s">
        <v>467</v>
      </c>
      <c r="H174" s="58" t="s">
        <v>376</v>
      </c>
      <c r="I174" s="59" t="s">
        <v>545</v>
      </c>
      <c r="J174" s="58" t="s">
        <v>333</v>
      </c>
      <c r="K174" s="58" t="s">
        <v>429</v>
      </c>
    </row>
    <row r="175" spans="1:11" x14ac:dyDescent="0.25">
      <c r="A175" s="55" t="str">
        <f t="shared" si="2"/>
        <v>000310020057</v>
      </c>
      <c r="B175" s="58" t="s">
        <v>197</v>
      </c>
      <c r="C175" s="59" t="s">
        <v>633</v>
      </c>
      <c r="D175" s="58" t="s">
        <v>375</v>
      </c>
      <c r="E175" s="59" t="s">
        <v>634</v>
      </c>
      <c r="F175" s="58" t="s">
        <v>380</v>
      </c>
      <c r="G175" s="59" t="s">
        <v>467</v>
      </c>
      <c r="H175" s="58" t="s">
        <v>384</v>
      </c>
      <c r="I175" s="59" t="s">
        <v>635</v>
      </c>
      <c r="J175" s="58" t="s">
        <v>333</v>
      </c>
      <c r="K175" s="58" t="s">
        <v>0</v>
      </c>
    </row>
    <row r="176" spans="1:11" x14ac:dyDescent="0.25">
      <c r="A176" s="55" t="str">
        <f t="shared" si="2"/>
        <v>009590010105</v>
      </c>
      <c r="B176" s="58" t="s">
        <v>636</v>
      </c>
      <c r="C176" s="59" t="s">
        <v>422</v>
      </c>
      <c r="D176" s="58" t="s">
        <v>423</v>
      </c>
      <c r="E176" s="59" t="s">
        <v>422</v>
      </c>
      <c r="F176" s="58" t="s">
        <v>637</v>
      </c>
      <c r="G176" s="59" t="s">
        <v>422</v>
      </c>
      <c r="H176" s="58" t="s">
        <v>426</v>
      </c>
      <c r="I176" s="59" t="s">
        <v>427</v>
      </c>
      <c r="J176" s="58" t="s">
        <v>428</v>
      </c>
      <c r="K176" s="58" t="s">
        <v>429</v>
      </c>
    </row>
    <row r="177" spans="1:11" x14ac:dyDescent="0.25">
      <c r="A177" s="55" t="str">
        <f t="shared" si="2"/>
        <v>009910990200</v>
      </c>
      <c r="B177" s="58" t="s">
        <v>638</v>
      </c>
      <c r="C177" s="59" t="s">
        <v>639</v>
      </c>
      <c r="D177" s="58" t="s">
        <v>640</v>
      </c>
      <c r="E177" s="59" t="s">
        <v>639</v>
      </c>
      <c r="F177" s="58" t="s">
        <v>641</v>
      </c>
      <c r="G177" s="59" t="s">
        <v>642</v>
      </c>
      <c r="H177" s="58" t="s">
        <v>643</v>
      </c>
      <c r="I177" s="59" t="s">
        <v>644</v>
      </c>
      <c r="J177" s="58" t="s">
        <v>428</v>
      </c>
      <c r="K177" s="58" t="s">
        <v>429</v>
      </c>
    </row>
    <row r="178" spans="1:11" x14ac:dyDescent="0.25">
      <c r="A178" s="55" t="str">
        <f t="shared" si="2"/>
        <v>001110120012</v>
      </c>
      <c r="B178" s="58" t="s">
        <v>129</v>
      </c>
      <c r="C178" s="59" t="s">
        <v>645</v>
      </c>
      <c r="D178" s="58" t="s">
        <v>387</v>
      </c>
      <c r="E178" s="59" t="s">
        <v>440</v>
      </c>
      <c r="F178" s="58" t="s">
        <v>392</v>
      </c>
      <c r="G178" s="59" t="s">
        <v>471</v>
      </c>
      <c r="H178" s="58" t="s">
        <v>376</v>
      </c>
      <c r="I178" s="59" t="s">
        <v>545</v>
      </c>
      <c r="J178" s="58" t="s">
        <v>331</v>
      </c>
      <c r="K178" s="58" t="s">
        <v>429</v>
      </c>
    </row>
    <row r="179" spans="1:11" x14ac:dyDescent="0.25">
      <c r="A179" s="55" t="str">
        <f t="shared" si="2"/>
        <v>001110120052</v>
      </c>
      <c r="B179" s="58" t="s">
        <v>129</v>
      </c>
      <c r="C179" s="59" t="s">
        <v>645</v>
      </c>
      <c r="D179" s="58" t="s">
        <v>387</v>
      </c>
      <c r="E179" s="59" t="s">
        <v>440</v>
      </c>
      <c r="F179" s="58" t="s">
        <v>392</v>
      </c>
      <c r="G179" s="59" t="s">
        <v>471</v>
      </c>
      <c r="H179" s="58" t="s">
        <v>615</v>
      </c>
      <c r="I179" s="59" t="s">
        <v>616</v>
      </c>
      <c r="J179" s="58" t="s">
        <v>331</v>
      </c>
      <c r="K179" s="58" t="s">
        <v>0</v>
      </c>
    </row>
    <row r="180" spans="1:11" x14ac:dyDescent="0.25">
      <c r="A180" s="55" t="str">
        <f t="shared" si="2"/>
        <v>001110120056</v>
      </c>
      <c r="B180" s="58" t="s">
        <v>129</v>
      </c>
      <c r="C180" s="59" t="s">
        <v>645</v>
      </c>
      <c r="D180" s="58" t="s">
        <v>387</v>
      </c>
      <c r="E180" s="59" t="s">
        <v>440</v>
      </c>
      <c r="F180" s="58" t="s">
        <v>392</v>
      </c>
      <c r="G180" s="59" t="s">
        <v>471</v>
      </c>
      <c r="H180" s="58" t="s">
        <v>400</v>
      </c>
      <c r="I180" s="59" t="s">
        <v>617</v>
      </c>
      <c r="J180" s="58" t="s">
        <v>331</v>
      </c>
      <c r="K180" s="58" t="s">
        <v>0</v>
      </c>
    </row>
    <row r="181" spans="1:11" x14ac:dyDescent="0.25">
      <c r="A181" s="55" t="str">
        <f t="shared" si="2"/>
        <v>001210120012</v>
      </c>
      <c r="B181" s="58" t="s">
        <v>130</v>
      </c>
      <c r="C181" s="59" t="s">
        <v>646</v>
      </c>
      <c r="D181" s="58" t="s">
        <v>376</v>
      </c>
      <c r="E181" s="59" t="s">
        <v>619</v>
      </c>
      <c r="F181" s="58" t="s">
        <v>392</v>
      </c>
      <c r="G181" s="59" t="s">
        <v>471</v>
      </c>
      <c r="H181" s="58" t="s">
        <v>376</v>
      </c>
      <c r="I181" s="59" t="s">
        <v>545</v>
      </c>
      <c r="J181" s="58" t="s">
        <v>331</v>
      </c>
      <c r="K181" s="58" t="s">
        <v>429</v>
      </c>
    </row>
    <row r="182" spans="1:11" x14ac:dyDescent="0.25">
      <c r="A182" s="55" t="str">
        <f t="shared" si="2"/>
        <v>001210120052</v>
      </c>
      <c r="B182" s="58" t="s">
        <v>130</v>
      </c>
      <c r="C182" s="59" t="s">
        <v>646</v>
      </c>
      <c r="D182" s="58" t="s">
        <v>376</v>
      </c>
      <c r="E182" s="59" t="s">
        <v>619</v>
      </c>
      <c r="F182" s="58" t="s">
        <v>392</v>
      </c>
      <c r="G182" s="59" t="s">
        <v>471</v>
      </c>
      <c r="H182" s="58" t="s">
        <v>615</v>
      </c>
      <c r="I182" s="59" t="s">
        <v>616</v>
      </c>
      <c r="J182" s="58" t="s">
        <v>331</v>
      </c>
      <c r="K182" s="58" t="s">
        <v>0</v>
      </c>
    </row>
    <row r="183" spans="1:11" x14ac:dyDescent="0.25">
      <c r="A183" s="55" t="str">
        <f t="shared" si="2"/>
        <v>001210120056</v>
      </c>
      <c r="B183" s="58" t="s">
        <v>130</v>
      </c>
      <c r="C183" s="59" t="s">
        <v>646</v>
      </c>
      <c r="D183" s="58" t="s">
        <v>376</v>
      </c>
      <c r="E183" s="59" t="s">
        <v>619</v>
      </c>
      <c r="F183" s="58" t="s">
        <v>392</v>
      </c>
      <c r="G183" s="59" t="s">
        <v>471</v>
      </c>
      <c r="H183" s="58" t="s">
        <v>400</v>
      </c>
      <c r="I183" s="59" t="s">
        <v>617</v>
      </c>
      <c r="J183" s="58" t="s">
        <v>331</v>
      </c>
      <c r="K183" s="58" t="s">
        <v>0</v>
      </c>
    </row>
    <row r="184" spans="1:11" x14ac:dyDescent="0.25">
      <c r="A184" s="55" t="str">
        <f t="shared" si="2"/>
        <v>001110120038</v>
      </c>
      <c r="B184" s="58" t="s">
        <v>131</v>
      </c>
      <c r="C184" s="59" t="s">
        <v>647</v>
      </c>
      <c r="D184" s="58" t="s">
        <v>387</v>
      </c>
      <c r="E184" s="59" t="s">
        <v>440</v>
      </c>
      <c r="F184" s="58" t="s">
        <v>392</v>
      </c>
      <c r="G184" s="59" t="s">
        <v>471</v>
      </c>
      <c r="H184" s="58" t="s">
        <v>396</v>
      </c>
      <c r="I184" s="59" t="s">
        <v>648</v>
      </c>
      <c r="J184" s="58" t="s">
        <v>428</v>
      </c>
      <c r="K184" s="58" t="s">
        <v>429</v>
      </c>
    </row>
    <row r="185" spans="1:11" x14ac:dyDescent="0.25">
      <c r="A185" s="55" t="str">
        <f t="shared" si="2"/>
        <v>001210120038</v>
      </c>
      <c r="B185" s="58" t="s">
        <v>132</v>
      </c>
      <c r="C185" s="59" t="s">
        <v>649</v>
      </c>
      <c r="D185" s="58" t="s">
        <v>376</v>
      </c>
      <c r="E185" s="59" t="s">
        <v>619</v>
      </c>
      <c r="F185" s="58" t="s">
        <v>392</v>
      </c>
      <c r="G185" s="59" t="s">
        <v>471</v>
      </c>
      <c r="H185" s="58" t="s">
        <v>396</v>
      </c>
      <c r="I185" s="59" t="s">
        <v>648</v>
      </c>
      <c r="J185" s="58" t="s">
        <v>428</v>
      </c>
      <c r="K185" s="58" t="s">
        <v>429</v>
      </c>
    </row>
    <row r="186" spans="1:11" x14ac:dyDescent="0.25">
      <c r="A186" s="55" t="str">
        <f t="shared" si="2"/>
        <v>001110120048</v>
      </c>
      <c r="B186" s="58" t="s">
        <v>58</v>
      </c>
      <c r="C186" s="59" t="s">
        <v>650</v>
      </c>
      <c r="D186" s="58" t="s">
        <v>387</v>
      </c>
      <c r="E186" s="59" t="s">
        <v>440</v>
      </c>
      <c r="F186" s="58" t="s">
        <v>392</v>
      </c>
      <c r="G186" s="59" t="s">
        <v>471</v>
      </c>
      <c r="H186" s="58" t="s">
        <v>394</v>
      </c>
      <c r="I186" s="59" t="s">
        <v>651</v>
      </c>
      <c r="J186" s="58" t="s">
        <v>428</v>
      </c>
      <c r="K186" s="58" t="s">
        <v>429</v>
      </c>
    </row>
    <row r="187" spans="1:11" x14ac:dyDescent="0.25">
      <c r="A187" s="55" t="str">
        <f t="shared" si="2"/>
        <v>001210120048</v>
      </c>
      <c r="B187" s="58" t="s">
        <v>60</v>
      </c>
      <c r="C187" s="59" t="s">
        <v>652</v>
      </c>
      <c r="D187" s="58" t="s">
        <v>376</v>
      </c>
      <c r="E187" s="59" t="s">
        <v>619</v>
      </c>
      <c r="F187" s="58" t="s">
        <v>392</v>
      </c>
      <c r="G187" s="59" t="s">
        <v>471</v>
      </c>
      <c r="H187" s="58" t="s">
        <v>394</v>
      </c>
      <c r="I187" s="59" t="s">
        <v>651</v>
      </c>
      <c r="J187" s="58" t="s">
        <v>428</v>
      </c>
      <c r="K187" s="58" t="s">
        <v>429</v>
      </c>
    </row>
    <row r="188" spans="1:11" x14ac:dyDescent="0.25">
      <c r="A188" s="55" t="str">
        <f t="shared" si="2"/>
        <v>001110140048</v>
      </c>
      <c r="B188" s="58" t="s">
        <v>61</v>
      </c>
      <c r="C188" s="59" t="s">
        <v>653</v>
      </c>
      <c r="D188" s="58" t="s">
        <v>387</v>
      </c>
      <c r="E188" s="59" t="s">
        <v>440</v>
      </c>
      <c r="F188" s="58" t="s">
        <v>401</v>
      </c>
      <c r="G188" s="59" t="s">
        <v>484</v>
      </c>
      <c r="H188" s="58" t="s">
        <v>394</v>
      </c>
      <c r="I188" s="59" t="s">
        <v>651</v>
      </c>
      <c r="J188" s="58" t="s">
        <v>428</v>
      </c>
      <c r="K188" s="58" t="s">
        <v>429</v>
      </c>
    </row>
    <row r="189" spans="1:11" x14ac:dyDescent="0.25">
      <c r="A189" s="55" t="str">
        <f t="shared" si="2"/>
        <v>001110140039</v>
      </c>
      <c r="B189" s="58" t="s">
        <v>62</v>
      </c>
      <c r="C189" s="59" t="s">
        <v>653</v>
      </c>
      <c r="D189" s="58" t="s">
        <v>387</v>
      </c>
      <c r="E189" s="59" t="s">
        <v>440</v>
      </c>
      <c r="F189" s="58" t="s">
        <v>401</v>
      </c>
      <c r="G189" s="59" t="s">
        <v>484</v>
      </c>
      <c r="H189" s="58" t="s">
        <v>654</v>
      </c>
      <c r="I189" s="59" t="s">
        <v>655</v>
      </c>
      <c r="J189" s="58" t="s">
        <v>428</v>
      </c>
      <c r="K189" s="58" t="s">
        <v>429</v>
      </c>
    </row>
    <row r="190" spans="1:11" x14ac:dyDescent="0.25">
      <c r="A190" s="55" t="str">
        <f t="shared" si="2"/>
        <v>001210140039</v>
      </c>
      <c r="B190" s="58" t="s">
        <v>63</v>
      </c>
      <c r="C190" s="59" t="s">
        <v>653</v>
      </c>
      <c r="D190" s="58" t="s">
        <v>376</v>
      </c>
      <c r="E190" s="59" t="s">
        <v>619</v>
      </c>
      <c r="F190" s="58" t="s">
        <v>401</v>
      </c>
      <c r="G190" s="59" t="s">
        <v>484</v>
      </c>
      <c r="H190" s="58" t="s">
        <v>654</v>
      </c>
      <c r="I190" s="59" t="s">
        <v>655</v>
      </c>
      <c r="J190" s="58" t="s">
        <v>428</v>
      </c>
      <c r="K190" s="58" t="s">
        <v>429</v>
      </c>
    </row>
    <row r="191" spans="1:11" x14ac:dyDescent="0.25">
      <c r="A191" s="55" t="str">
        <f t="shared" si="2"/>
        <v>001310120035</v>
      </c>
      <c r="B191" s="58" t="s">
        <v>260</v>
      </c>
      <c r="C191" s="59" t="s">
        <v>656</v>
      </c>
      <c r="D191" s="58" t="s">
        <v>402</v>
      </c>
      <c r="E191" s="59" t="s">
        <v>604</v>
      </c>
      <c r="F191" s="58" t="s">
        <v>392</v>
      </c>
      <c r="G191" s="59" t="s">
        <v>471</v>
      </c>
      <c r="H191" s="58" t="s">
        <v>403</v>
      </c>
      <c r="I191" s="59" t="s">
        <v>604</v>
      </c>
      <c r="J191" s="58" t="s">
        <v>428</v>
      </c>
      <c r="K191" s="58" t="s">
        <v>429</v>
      </c>
    </row>
    <row r="192" spans="1:11" x14ac:dyDescent="0.25">
      <c r="A192" s="55" t="str">
        <f t="shared" si="2"/>
        <v>001310140035</v>
      </c>
      <c r="B192" s="58" t="s">
        <v>64</v>
      </c>
      <c r="C192" s="59" t="s">
        <v>657</v>
      </c>
      <c r="D192" s="58" t="s">
        <v>402</v>
      </c>
      <c r="E192" s="59" t="s">
        <v>604</v>
      </c>
      <c r="F192" s="58" t="s">
        <v>401</v>
      </c>
      <c r="G192" s="59" t="s">
        <v>484</v>
      </c>
      <c r="H192" s="58" t="s">
        <v>403</v>
      </c>
      <c r="I192" s="59" t="s">
        <v>604</v>
      </c>
      <c r="J192" s="58" t="s">
        <v>428</v>
      </c>
      <c r="K192" s="58" t="s">
        <v>429</v>
      </c>
    </row>
    <row r="193" spans="1:11" x14ac:dyDescent="0.25">
      <c r="A193" s="55" t="str">
        <f t="shared" si="2"/>
        <v>000310120012</v>
      </c>
      <c r="B193" s="58" t="s">
        <v>200</v>
      </c>
      <c r="C193" s="59" t="s">
        <v>658</v>
      </c>
      <c r="D193" s="58" t="s">
        <v>375</v>
      </c>
      <c r="E193" s="59" t="s">
        <v>634</v>
      </c>
      <c r="F193" s="58" t="s">
        <v>392</v>
      </c>
      <c r="G193" s="59" t="s">
        <v>471</v>
      </c>
      <c r="H193" s="58" t="s">
        <v>376</v>
      </c>
      <c r="I193" s="59" t="s">
        <v>545</v>
      </c>
      <c r="J193" s="58" t="s">
        <v>333</v>
      </c>
      <c r="K193" s="58" t="s">
        <v>429</v>
      </c>
    </row>
    <row r="194" spans="1:11" x14ac:dyDescent="0.25">
      <c r="A194" s="55" t="str">
        <f t="shared" si="2"/>
        <v>000310120057</v>
      </c>
      <c r="B194" s="58" t="s">
        <v>200</v>
      </c>
      <c r="C194" s="59" t="s">
        <v>658</v>
      </c>
      <c r="D194" s="58" t="s">
        <v>375</v>
      </c>
      <c r="E194" s="59" t="s">
        <v>634</v>
      </c>
      <c r="F194" s="58" t="s">
        <v>392</v>
      </c>
      <c r="G194" s="59" t="s">
        <v>471</v>
      </c>
      <c r="H194" s="58" t="s">
        <v>384</v>
      </c>
      <c r="I194" s="59" t="s">
        <v>635</v>
      </c>
      <c r="J194" s="58" t="s">
        <v>333</v>
      </c>
      <c r="K194" s="58" t="s">
        <v>0</v>
      </c>
    </row>
    <row r="195" spans="1:11" x14ac:dyDescent="0.25">
      <c r="A195" s="55" t="str">
        <f t="shared" si="2"/>
        <v>000310140039</v>
      </c>
      <c r="B195" s="58" t="s">
        <v>66</v>
      </c>
      <c r="C195" s="59" t="s">
        <v>653</v>
      </c>
      <c r="D195" s="58" t="s">
        <v>375</v>
      </c>
      <c r="E195" s="59" t="s">
        <v>634</v>
      </c>
      <c r="F195" s="58" t="s">
        <v>401</v>
      </c>
      <c r="G195" s="59" t="s">
        <v>484</v>
      </c>
      <c r="H195" s="58" t="s">
        <v>654</v>
      </c>
      <c r="I195" s="59" t="s">
        <v>655</v>
      </c>
      <c r="J195" s="58" t="s">
        <v>428</v>
      </c>
      <c r="K195" s="58" t="s">
        <v>429</v>
      </c>
    </row>
    <row r="196" spans="1:11" x14ac:dyDescent="0.25">
      <c r="A196" s="55" t="str">
        <f t="shared" ref="A196:A259" si="3">D196&amp;F196&amp;H196</f>
        <v>000310120038</v>
      </c>
      <c r="B196" s="58" t="s">
        <v>201</v>
      </c>
      <c r="C196" s="59" t="s">
        <v>659</v>
      </c>
      <c r="D196" s="58" t="s">
        <v>375</v>
      </c>
      <c r="E196" s="59" t="s">
        <v>634</v>
      </c>
      <c r="F196" s="58" t="s">
        <v>392</v>
      </c>
      <c r="G196" s="59" t="s">
        <v>471</v>
      </c>
      <c r="H196" s="58" t="s">
        <v>396</v>
      </c>
      <c r="I196" s="59" t="s">
        <v>648</v>
      </c>
      <c r="J196" s="58" t="s">
        <v>428</v>
      </c>
      <c r="K196" s="58" t="s">
        <v>429</v>
      </c>
    </row>
    <row r="197" spans="1:11" x14ac:dyDescent="0.25">
      <c r="A197" s="55" t="str">
        <f t="shared" si="3"/>
        <v>000310120048</v>
      </c>
      <c r="B197" s="58" t="s">
        <v>67</v>
      </c>
      <c r="C197" s="59" t="s">
        <v>660</v>
      </c>
      <c r="D197" s="58" t="s">
        <v>375</v>
      </c>
      <c r="E197" s="59" t="s">
        <v>634</v>
      </c>
      <c r="F197" s="58" t="s">
        <v>392</v>
      </c>
      <c r="G197" s="59" t="s">
        <v>471</v>
      </c>
      <c r="H197" s="58" t="s">
        <v>394</v>
      </c>
      <c r="I197" s="59" t="s">
        <v>651</v>
      </c>
      <c r="J197" s="58" t="s">
        <v>428</v>
      </c>
      <c r="K197" s="58" t="s">
        <v>429</v>
      </c>
    </row>
    <row r="198" spans="1:11" x14ac:dyDescent="0.25">
      <c r="A198" s="55" t="str">
        <f t="shared" si="3"/>
        <v>000310120047</v>
      </c>
      <c r="B198" s="58" t="s">
        <v>202</v>
      </c>
      <c r="C198" s="59" t="s">
        <v>661</v>
      </c>
      <c r="D198" s="58" t="s">
        <v>375</v>
      </c>
      <c r="E198" s="59" t="s">
        <v>634</v>
      </c>
      <c r="F198" s="58" t="s">
        <v>392</v>
      </c>
      <c r="G198" s="59" t="s">
        <v>471</v>
      </c>
      <c r="H198" s="58" t="s">
        <v>383</v>
      </c>
      <c r="I198" s="59" t="s">
        <v>662</v>
      </c>
      <c r="J198" s="58" t="s">
        <v>428</v>
      </c>
      <c r="K198" s="58" t="s">
        <v>429</v>
      </c>
    </row>
    <row r="199" spans="1:11" x14ac:dyDescent="0.25">
      <c r="A199" s="55" t="str">
        <f t="shared" si="3"/>
        <v>001110040012</v>
      </c>
      <c r="B199" s="58" t="s">
        <v>89</v>
      </c>
      <c r="C199" s="59" t="s">
        <v>663</v>
      </c>
      <c r="D199" s="58" t="s">
        <v>387</v>
      </c>
      <c r="E199" s="59" t="s">
        <v>440</v>
      </c>
      <c r="F199" s="58" t="s">
        <v>382</v>
      </c>
      <c r="G199" s="59" t="s">
        <v>444</v>
      </c>
      <c r="H199" s="58" t="s">
        <v>376</v>
      </c>
      <c r="I199" s="59" t="s">
        <v>545</v>
      </c>
      <c r="J199" s="58" t="s">
        <v>428</v>
      </c>
      <c r="K199" s="58" t="s">
        <v>429</v>
      </c>
    </row>
    <row r="200" spans="1:11" x14ac:dyDescent="0.25">
      <c r="A200" s="55" t="str">
        <f t="shared" si="3"/>
        <v>001210040012</v>
      </c>
      <c r="B200" s="58" t="s">
        <v>90</v>
      </c>
      <c r="C200" s="59" t="s">
        <v>664</v>
      </c>
      <c r="D200" s="58" t="s">
        <v>376</v>
      </c>
      <c r="E200" s="59" t="s">
        <v>619</v>
      </c>
      <c r="F200" s="58" t="s">
        <v>382</v>
      </c>
      <c r="G200" s="59" t="s">
        <v>444</v>
      </c>
      <c r="H200" s="58" t="s">
        <v>376</v>
      </c>
      <c r="I200" s="59" t="s">
        <v>545</v>
      </c>
      <c r="J200" s="58" t="s">
        <v>428</v>
      </c>
      <c r="K200" s="58" t="s">
        <v>429</v>
      </c>
    </row>
    <row r="201" spans="1:11" x14ac:dyDescent="0.25">
      <c r="A201" s="55" t="str">
        <f t="shared" si="3"/>
        <v>001110060012</v>
      </c>
      <c r="B201" s="58" t="s">
        <v>91</v>
      </c>
      <c r="C201" s="59" t="s">
        <v>665</v>
      </c>
      <c r="D201" s="58" t="s">
        <v>387</v>
      </c>
      <c r="E201" s="59" t="s">
        <v>440</v>
      </c>
      <c r="F201" s="58" t="s">
        <v>386</v>
      </c>
      <c r="G201" s="59" t="s">
        <v>470</v>
      </c>
      <c r="H201" s="58" t="s">
        <v>376</v>
      </c>
      <c r="I201" s="59" t="s">
        <v>545</v>
      </c>
      <c r="J201" s="58" t="s">
        <v>428</v>
      </c>
      <c r="K201" s="58" t="s">
        <v>429</v>
      </c>
    </row>
    <row r="202" spans="1:11" x14ac:dyDescent="0.25">
      <c r="A202" s="55" t="str">
        <f t="shared" si="3"/>
        <v>001110040038</v>
      </c>
      <c r="B202" s="58" t="s">
        <v>92</v>
      </c>
      <c r="C202" s="59" t="s">
        <v>666</v>
      </c>
      <c r="D202" s="58" t="s">
        <v>387</v>
      </c>
      <c r="E202" s="59" t="s">
        <v>440</v>
      </c>
      <c r="F202" s="58" t="s">
        <v>382</v>
      </c>
      <c r="G202" s="59" t="s">
        <v>444</v>
      </c>
      <c r="H202" s="58" t="s">
        <v>396</v>
      </c>
      <c r="I202" s="59" t="s">
        <v>648</v>
      </c>
      <c r="J202" s="58" t="s">
        <v>428</v>
      </c>
      <c r="K202" s="58" t="s">
        <v>429</v>
      </c>
    </row>
    <row r="203" spans="1:11" x14ac:dyDescent="0.25">
      <c r="A203" s="55" t="str">
        <f t="shared" si="3"/>
        <v>001210040038</v>
      </c>
      <c r="B203" s="58" t="s">
        <v>93</v>
      </c>
      <c r="C203" s="59" t="s">
        <v>667</v>
      </c>
      <c r="D203" s="58" t="s">
        <v>376</v>
      </c>
      <c r="E203" s="59" t="s">
        <v>619</v>
      </c>
      <c r="F203" s="58" t="s">
        <v>382</v>
      </c>
      <c r="G203" s="59" t="s">
        <v>444</v>
      </c>
      <c r="H203" s="58" t="s">
        <v>396</v>
      </c>
      <c r="I203" s="59" t="s">
        <v>648</v>
      </c>
      <c r="J203" s="58" t="s">
        <v>428</v>
      </c>
      <c r="K203" s="58" t="s">
        <v>429</v>
      </c>
    </row>
    <row r="204" spans="1:11" x14ac:dyDescent="0.25">
      <c r="A204" s="55" t="str">
        <f t="shared" si="3"/>
        <v>001210060012</v>
      </c>
      <c r="B204" s="58" t="s">
        <v>94</v>
      </c>
      <c r="C204" s="59" t="s">
        <v>668</v>
      </c>
      <c r="D204" s="58" t="s">
        <v>376</v>
      </c>
      <c r="E204" s="59" t="s">
        <v>619</v>
      </c>
      <c r="F204" s="58" t="s">
        <v>386</v>
      </c>
      <c r="G204" s="59" t="s">
        <v>470</v>
      </c>
      <c r="H204" s="58" t="s">
        <v>376</v>
      </c>
      <c r="I204" s="59" t="s">
        <v>545</v>
      </c>
      <c r="J204" s="58" t="s">
        <v>428</v>
      </c>
      <c r="K204" s="58" t="s">
        <v>429</v>
      </c>
    </row>
    <row r="205" spans="1:11" x14ac:dyDescent="0.25">
      <c r="A205" s="55" t="str">
        <f t="shared" si="3"/>
        <v>001110040047</v>
      </c>
      <c r="B205" s="58" t="s">
        <v>95</v>
      </c>
      <c r="C205" s="59" t="s">
        <v>669</v>
      </c>
      <c r="D205" s="58" t="s">
        <v>387</v>
      </c>
      <c r="E205" s="59" t="s">
        <v>440</v>
      </c>
      <c r="F205" s="58" t="s">
        <v>382</v>
      </c>
      <c r="G205" s="59" t="s">
        <v>444</v>
      </c>
      <c r="H205" s="58" t="s">
        <v>383</v>
      </c>
      <c r="I205" s="59" t="s">
        <v>662</v>
      </c>
      <c r="J205" s="58" t="s">
        <v>428</v>
      </c>
      <c r="K205" s="58" t="s">
        <v>429</v>
      </c>
    </row>
    <row r="206" spans="1:11" x14ac:dyDescent="0.25">
      <c r="A206" s="55" t="str">
        <f t="shared" si="3"/>
        <v>001210040047</v>
      </c>
      <c r="B206" s="58" t="s">
        <v>96</v>
      </c>
      <c r="C206" s="59" t="s">
        <v>670</v>
      </c>
      <c r="D206" s="58" t="s">
        <v>376</v>
      </c>
      <c r="E206" s="59" t="s">
        <v>619</v>
      </c>
      <c r="F206" s="58" t="s">
        <v>382</v>
      </c>
      <c r="G206" s="59" t="s">
        <v>444</v>
      </c>
      <c r="H206" s="58" t="s">
        <v>383</v>
      </c>
      <c r="I206" s="59" t="s">
        <v>662</v>
      </c>
      <c r="J206" s="58" t="s">
        <v>428</v>
      </c>
      <c r="K206" s="58" t="s">
        <v>429</v>
      </c>
    </row>
    <row r="207" spans="1:11" x14ac:dyDescent="0.25">
      <c r="A207" s="55" t="str">
        <f t="shared" si="3"/>
        <v>001110040048</v>
      </c>
      <c r="B207" s="58" t="s">
        <v>68</v>
      </c>
      <c r="C207" s="59" t="s">
        <v>671</v>
      </c>
      <c r="D207" s="58" t="s">
        <v>387</v>
      </c>
      <c r="E207" s="59" t="s">
        <v>440</v>
      </c>
      <c r="F207" s="58" t="s">
        <v>382</v>
      </c>
      <c r="G207" s="59" t="s">
        <v>444</v>
      </c>
      <c r="H207" s="58" t="s">
        <v>394</v>
      </c>
      <c r="I207" s="59" t="s">
        <v>651</v>
      </c>
      <c r="J207" s="58" t="s">
        <v>428</v>
      </c>
      <c r="K207" s="58" t="s">
        <v>429</v>
      </c>
    </row>
    <row r="208" spans="1:11" x14ac:dyDescent="0.25">
      <c r="A208" s="55" t="str">
        <f t="shared" si="3"/>
        <v>001210040048</v>
      </c>
      <c r="B208" s="58" t="s">
        <v>69</v>
      </c>
      <c r="C208" s="59" t="s">
        <v>672</v>
      </c>
      <c r="D208" s="58" t="s">
        <v>376</v>
      </c>
      <c r="E208" s="59" t="s">
        <v>619</v>
      </c>
      <c r="F208" s="58" t="s">
        <v>382</v>
      </c>
      <c r="G208" s="59" t="s">
        <v>444</v>
      </c>
      <c r="H208" s="58" t="s">
        <v>394</v>
      </c>
      <c r="I208" s="59" t="s">
        <v>651</v>
      </c>
      <c r="J208" s="58" t="s">
        <v>428</v>
      </c>
      <c r="K208" s="58" t="s">
        <v>429</v>
      </c>
    </row>
    <row r="209" spans="1:11" x14ac:dyDescent="0.25">
      <c r="A209" s="55" t="str">
        <f t="shared" si="3"/>
        <v>001310040035</v>
      </c>
      <c r="B209" s="58" t="s">
        <v>261</v>
      </c>
      <c r="C209" s="59" t="s">
        <v>673</v>
      </c>
      <c r="D209" s="58" t="s">
        <v>402</v>
      </c>
      <c r="E209" s="59" t="s">
        <v>604</v>
      </c>
      <c r="F209" s="58" t="s">
        <v>382</v>
      </c>
      <c r="G209" s="59" t="s">
        <v>444</v>
      </c>
      <c r="H209" s="58" t="s">
        <v>403</v>
      </c>
      <c r="I209" s="59" t="s">
        <v>604</v>
      </c>
      <c r="J209" s="58" t="s">
        <v>428</v>
      </c>
      <c r="K209" s="58" t="s">
        <v>429</v>
      </c>
    </row>
    <row r="210" spans="1:11" x14ac:dyDescent="0.25">
      <c r="A210" s="55" t="str">
        <f t="shared" si="3"/>
        <v>001310040041</v>
      </c>
      <c r="B210" s="58" t="s">
        <v>262</v>
      </c>
      <c r="C210" s="59" t="s">
        <v>674</v>
      </c>
      <c r="D210" s="58" t="s">
        <v>402</v>
      </c>
      <c r="E210" s="59" t="s">
        <v>604</v>
      </c>
      <c r="F210" s="58" t="s">
        <v>382</v>
      </c>
      <c r="G210" s="59" t="s">
        <v>444</v>
      </c>
      <c r="H210" s="58" t="s">
        <v>675</v>
      </c>
      <c r="I210" s="59" t="s">
        <v>676</v>
      </c>
      <c r="J210" s="58" t="s">
        <v>428</v>
      </c>
      <c r="K210" s="58" t="s">
        <v>429</v>
      </c>
    </row>
    <row r="211" spans="1:11" x14ac:dyDescent="0.25">
      <c r="A211" s="55" t="str">
        <f t="shared" si="3"/>
        <v>002510040058</v>
      </c>
      <c r="B211" s="58" t="s">
        <v>264</v>
      </c>
      <c r="C211" s="59" t="s">
        <v>677</v>
      </c>
      <c r="D211" s="58" t="s">
        <v>409</v>
      </c>
      <c r="E211" s="59" t="s">
        <v>678</v>
      </c>
      <c r="F211" s="58" t="s">
        <v>382</v>
      </c>
      <c r="G211" s="59" t="s">
        <v>444</v>
      </c>
      <c r="H211" s="58" t="s">
        <v>410</v>
      </c>
      <c r="I211" s="59" t="s">
        <v>679</v>
      </c>
      <c r="J211" s="58" t="s">
        <v>331</v>
      </c>
      <c r="K211" s="58" t="s">
        <v>429</v>
      </c>
    </row>
    <row r="212" spans="1:11" x14ac:dyDescent="0.25">
      <c r="A212" s="55" t="str">
        <f t="shared" si="3"/>
        <v>002610040058</v>
      </c>
      <c r="B212" s="58" t="s">
        <v>264</v>
      </c>
      <c r="C212" s="59" t="s">
        <v>677</v>
      </c>
      <c r="D212" s="58" t="s">
        <v>411</v>
      </c>
      <c r="E212" s="59" t="s">
        <v>680</v>
      </c>
      <c r="F212" s="58" t="s">
        <v>382</v>
      </c>
      <c r="G212" s="59" t="s">
        <v>444</v>
      </c>
      <c r="H212" s="58" t="s">
        <v>410</v>
      </c>
      <c r="I212" s="59" t="s">
        <v>679</v>
      </c>
      <c r="J212" s="58" t="s">
        <v>331</v>
      </c>
      <c r="K212" s="58" t="s">
        <v>0</v>
      </c>
    </row>
    <row r="213" spans="1:11" x14ac:dyDescent="0.25">
      <c r="A213" s="55" t="str">
        <f t="shared" si="3"/>
        <v>002710040058</v>
      </c>
      <c r="B213" s="58" t="s">
        <v>264</v>
      </c>
      <c r="C213" s="59" t="s">
        <v>677</v>
      </c>
      <c r="D213" s="58" t="s">
        <v>412</v>
      </c>
      <c r="E213" s="59" t="s">
        <v>681</v>
      </c>
      <c r="F213" s="58" t="s">
        <v>382</v>
      </c>
      <c r="G213" s="59" t="s">
        <v>444</v>
      </c>
      <c r="H213" s="58" t="s">
        <v>410</v>
      </c>
      <c r="I213" s="59" t="s">
        <v>679</v>
      </c>
      <c r="J213" s="58" t="s">
        <v>331</v>
      </c>
      <c r="K213" s="58" t="s">
        <v>0</v>
      </c>
    </row>
    <row r="214" spans="1:11" x14ac:dyDescent="0.25">
      <c r="A214" s="55" t="str">
        <f t="shared" si="3"/>
        <v>002510020058</v>
      </c>
      <c r="B214" s="58" t="s">
        <v>265</v>
      </c>
      <c r="C214" s="59" t="s">
        <v>682</v>
      </c>
      <c r="D214" s="58" t="s">
        <v>409</v>
      </c>
      <c r="E214" s="59" t="s">
        <v>678</v>
      </c>
      <c r="F214" s="58" t="s">
        <v>380</v>
      </c>
      <c r="G214" s="59" t="s">
        <v>467</v>
      </c>
      <c r="H214" s="58" t="s">
        <v>410</v>
      </c>
      <c r="I214" s="59" t="s">
        <v>679</v>
      </c>
      <c r="J214" s="58" t="s">
        <v>334</v>
      </c>
      <c r="K214" s="58" t="s">
        <v>429</v>
      </c>
    </row>
    <row r="215" spans="1:11" x14ac:dyDescent="0.25">
      <c r="A215" s="55" t="str">
        <f t="shared" si="3"/>
        <v>002610020058</v>
      </c>
      <c r="B215" s="58" t="s">
        <v>265</v>
      </c>
      <c r="C215" s="59" t="s">
        <v>682</v>
      </c>
      <c r="D215" s="58" t="s">
        <v>411</v>
      </c>
      <c r="E215" s="59" t="s">
        <v>680</v>
      </c>
      <c r="F215" s="58" t="s">
        <v>380</v>
      </c>
      <c r="G215" s="59" t="s">
        <v>467</v>
      </c>
      <c r="H215" s="58" t="s">
        <v>410</v>
      </c>
      <c r="I215" s="59" t="s">
        <v>679</v>
      </c>
      <c r="J215" s="58" t="s">
        <v>334</v>
      </c>
      <c r="K215" s="58" t="s">
        <v>0</v>
      </c>
    </row>
    <row r="216" spans="1:11" x14ac:dyDescent="0.25">
      <c r="A216" s="55" t="str">
        <f t="shared" si="3"/>
        <v>002710020058</v>
      </c>
      <c r="B216" s="58" t="s">
        <v>265</v>
      </c>
      <c r="C216" s="59" t="s">
        <v>682</v>
      </c>
      <c r="D216" s="58" t="s">
        <v>412</v>
      </c>
      <c r="E216" s="59" t="s">
        <v>681</v>
      </c>
      <c r="F216" s="58" t="s">
        <v>380</v>
      </c>
      <c r="G216" s="59" t="s">
        <v>467</v>
      </c>
      <c r="H216" s="58" t="s">
        <v>410</v>
      </c>
      <c r="I216" s="59" t="s">
        <v>679</v>
      </c>
      <c r="J216" s="58" t="s">
        <v>334</v>
      </c>
      <c r="K216" s="58" t="s">
        <v>0</v>
      </c>
    </row>
    <row r="217" spans="1:11" x14ac:dyDescent="0.25">
      <c r="A217" s="55" t="str">
        <f t="shared" si="3"/>
        <v>002810020058</v>
      </c>
      <c r="B217" s="58" t="s">
        <v>265</v>
      </c>
      <c r="C217" s="59" t="s">
        <v>682</v>
      </c>
      <c r="D217" s="58" t="s">
        <v>413</v>
      </c>
      <c r="E217" s="59" t="s">
        <v>683</v>
      </c>
      <c r="F217" s="58" t="s">
        <v>380</v>
      </c>
      <c r="G217" s="59" t="s">
        <v>467</v>
      </c>
      <c r="H217" s="58" t="s">
        <v>410</v>
      </c>
      <c r="I217" s="59" t="s">
        <v>679</v>
      </c>
      <c r="J217" s="58" t="s">
        <v>334</v>
      </c>
      <c r="K217" s="58" t="s">
        <v>0</v>
      </c>
    </row>
    <row r="218" spans="1:11" x14ac:dyDescent="0.25">
      <c r="A218" s="55" t="str">
        <f t="shared" si="3"/>
        <v>002510020059</v>
      </c>
      <c r="B218" s="58" t="s">
        <v>266</v>
      </c>
      <c r="C218" s="59" t="s">
        <v>682</v>
      </c>
      <c r="D218" s="58" t="s">
        <v>409</v>
      </c>
      <c r="E218" s="59" t="s">
        <v>678</v>
      </c>
      <c r="F218" s="58" t="s">
        <v>380</v>
      </c>
      <c r="G218" s="59" t="s">
        <v>467</v>
      </c>
      <c r="H218" s="58" t="s">
        <v>684</v>
      </c>
      <c r="I218" s="59" t="s">
        <v>685</v>
      </c>
      <c r="J218" s="58" t="s">
        <v>333</v>
      </c>
      <c r="K218" s="58" t="s">
        <v>429</v>
      </c>
    </row>
    <row r="219" spans="1:11" x14ac:dyDescent="0.25">
      <c r="A219" s="55" t="str">
        <f t="shared" si="3"/>
        <v>002610020059</v>
      </c>
      <c r="B219" s="58" t="s">
        <v>266</v>
      </c>
      <c r="C219" s="59" t="s">
        <v>682</v>
      </c>
      <c r="D219" s="58" t="s">
        <v>411</v>
      </c>
      <c r="E219" s="59" t="s">
        <v>680</v>
      </c>
      <c r="F219" s="58" t="s">
        <v>380</v>
      </c>
      <c r="G219" s="59" t="s">
        <v>467</v>
      </c>
      <c r="H219" s="58" t="s">
        <v>684</v>
      </c>
      <c r="I219" s="59" t="s">
        <v>685</v>
      </c>
      <c r="J219" s="58" t="s">
        <v>333</v>
      </c>
      <c r="K219" s="58" t="s">
        <v>0</v>
      </c>
    </row>
    <row r="220" spans="1:11" x14ac:dyDescent="0.25">
      <c r="A220" s="55" t="str">
        <f t="shared" si="3"/>
        <v>001310060035</v>
      </c>
      <c r="B220" s="58" t="s">
        <v>267</v>
      </c>
      <c r="C220" s="59" t="s">
        <v>686</v>
      </c>
      <c r="D220" s="58" t="s">
        <v>402</v>
      </c>
      <c r="E220" s="59" t="s">
        <v>604</v>
      </c>
      <c r="F220" s="58" t="s">
        <v>386</v>
      </c>
      <c r="G220" s="59" t="s">
        <v>470</v>
      </c>
      <c r="H220" s="58" t="s">
        <v>403</v>
      </c>
      <c r="I220" s="59" t="s">
        <v>604</v>
      </c>
      <c r="J220" s="58" t="s">
        <v>428</v>
      </c>
      <c r="K220" s="58" t="s">
        <v>429</v>
      </c>
    </row>
    <row r="221" spans="1:11" x14ac:dyDescent="0.25">
      <c r="A221" s="55" t="str">
        <f t="shared" si="3"/>
        <v>000310040012</v>
      </c>
      <c r="B221" s="58" t="s">
        <v>174</v>
      </c>
      <c r="C221" s="59" t="s">
        <v>687</v>
      </c>
      <c r="D221" s="58" t="s">
        <v>375</v>
      </c>
      <c r="E221" s="59" t="s">
        <v>634</v>
      </c>
      <c r="F221" s="58" t="s">
        <v>382</v>
      </c>
      <c r="G221" s="59" t="s">
        <v>444</v>
      </c>
      <c r="H221" s="58" t="s">
        <v>376</v>
      </c>
      <c r="I221" s="59" t="s">
        <v>545</v>
      </c>
      <c r="J221" s="58" t="s">
        <v>428</v>
      </c>
      <c r="K221" s="58" t="s">
        <v>429</v>
      </c>
    </row>
    <row r="222" spans="1:11" x14ac:dyDescent="0.25">
      <c r="A222" s="55" t="str">
        <f t="shared" si="3"/>
        <v>000310060012</v>
      </c>
      <c r="B222" s="58" t="s">
        <v>175</v>
      </c>
      <c r="C222" s="59" t="s">
        <v>688</v>
      </c>
      <c r="D222" s="58" t="s">
        <v>375</v>
      </c>
      <c r="E222" s="59" t="s">
        <v>634</v>
      </c>
      <c r="F222" s="58" t="s">
        <v>386</v>
      </c>
      <c r="G222" s="59" t="s">
        <v>470</v>
      </c>
      <c r="H222" s="58" t="s">
        <v>376</v>
      </c>
      <c r="I222" s="59" t="s">
        <v>545</v>
      </c>
      <c r="J222" s="58" t="s">
        <v>428</v>
      </c>
      <c r="K222" s="58" t="s">
        <v>429</v>
      </c>
    </row>
    <row r="223" spans="1:11" x14ac:dyDescent="0.25">
      <c r="A223" s="55" t="str">
        <f t="shared" si="3"/>
        <v>000310040038</v>
      </c>
      <c r="B223" s="58" t="s">
        <v>177</v>
      </c>
      <c r="C223" s="59" t="s">
        <v>689</v>
      </c>
      <c r="D223" s="58" t="s">
        <v>375</v>
      </c>
      <c r="E223" s="59" t="s">
        <v>634</v>
      </c>
      <c r="F223" s="58" t="s">
        <v>382</v>
      </c>
      <c r="G223" s="59" t="s">
        <v>444</v>
      </c>
      <c r="H223" s="58" t="s">
        <v>396</v>
      </c>
      <c r="I223" s="59" t="s">
        <v>648</v>
      </c>
      <c r="J223" s="58" t="s">
        <v>428</v>
      </c>
      <c r="K223" s="58" t="s">
        <v>429</v>
      </c>
    </row>
    <row r="224" spans="1:11" x14ac:dyDescent="0.25">
      <c r="A224" s="55" t="str">
        <f t="shared" si="3"/>
        <v>000310040047</v>
      </c>
      <c r="B224" s="58" t="s">
        <v>178</v>
      </c>
      <c r="C224" s="59" t="s">
        <v>690</v>
      </c>
      <c r="D224" s="58" t="s">
        <v>375</v>
      </c>
      <c r="E224" s="59" t="s">
        <v>634</v>
      </c>
      <c r="F224" s="58" t="s">
        <v>382</v>
      </c>
      <c r="G224" s="59" t="s">
        <v>444</v>
      </c>
      <c r="H224" s="58" t="s">
        <v>383</v>
      </c>
      <c r="I224" s="59" t="s">
        <v>662</v>
      </c>
      <c r="J224" s="58" t="s">
        <v>428</v>
      </c>
      <c r="K224" s="58" t="s">
        <v>429</v>
      </c>
    </row>
    <row r="225" spans="1:11" x14ac:dyDescent="0.25">
      <c r="A225" s="55" t="str">
        <f t="shared" si="3"/>
        <v>001810090045</v>
      </c>
      <c r="B225" s="58" t="s">
        <v>187</v>
      </c>
      <c r="C225" s="59" t="s">
        <v>691</v>
      </c>
      <c r="D225" s="58" t="s">
        <v>464</v>
      </c>
      <c r="E225" s="59" t="s">
        <v>692</v>
      </c>
      <c r="F225" s="58" t="s">
        <v>335</v>
      </c>
      <c r="G225" s="59" t="s">
        <v>530</v>
      </c>
      <c r="H225" s="58" t="s">
        <v>693</v>
      </c>
      <c r="I225" s="59" t="s">
        <v>694</v>
      </c>
      <c r="J225" s="58" t="s">
        <v>333</v>
      </c>
      <c r="K225" s="58" t="s">
        <v>429</v>
      </c>
    </row>
    <row r="226" spans="1:11" x14ac:dyDescent="0.25">
      <c r="A226" s="55" t="str">
        <f t="shared" si="3"/>
        <v>001810090060</v>
      </c>
      <c r="B226" s="58" t="s">
        <v>187</v>
      </c>
      <c r="C226" s="59" t="s">
        <v>691</v>
      </c>
      <c r="D226" s="58" t="s">
        <v>464</v>
      </c>
      <c r="E226" s="59" t="s">
        <v>692</v>
      </c>
      <c r="F226" s="58" t="s">
        <v>335</v>
      </c>
      <c r="G226" s="59" t="s">
        <v>530</v>
      </c>
      <c r="H226" s="58" t="s">
        <v>695</v>
      </c>
      <c r="I226" s="59" t="s">
        <v>696</v>
      </c>
      <c r="J226" s="58" t="s">
        <v>333</v>
      </c>
      <c r="K226" s="58" t="s">
        <v>0</v>
      </c>
    </row>
    <row r="227" spans="1:11" x14ac:dyDescent="0.25">
      <c r="A227" s="55" t="str">
        <f t="shared" si="3"/>
        <v>001810020049</v>
      </c>
      <c r="B227" s="58" t="s">
        <v>188</v>
      </c>
      <c r="C227" s="59" t="s">
        <v>697</v>
      </c>
      <c r="D227" s="58" t="s">
        <v>464</v>
      </c>
      <c r="E227" s="59" t="s">
        <v>692</v>
      </c>
      <c r="F227" s="58" t="s">
        <v>380</v>
      </c>
      <c r="G227" s="59" t="s">
        <v>467</v>
      </c>
      <c r="H227" s="58" t="s">
        <v>698</v>
      </c>
      <c r="I227" s="59" t="s">
        <v>699</v>
      </c>
      <c r="J227" s="58" t="s">
        <v>334</v>
      </c>
      <c r="K227" s="58" t="s">
        <v>0</v>
      </c>
    </row>
    <row r="228" spans="1:11" x14ac:dyDescent="0.25">
      <c r="A228" s="55" t="str">
        <f t="shared" si="3"/>
        <v>001810030049</v>
      </c>
      <c r="B228" s="58" t="s">
        <v>188</v>
      </c>
      <c r="C228" s="59" t="s">
        <v>697</v>
      </c>
      <c r="D228" s="58" t="s">
        <v>464</v>
      </c>
      <c r="E228" s="59" t="s">
        <v>692</v>
      </c>
      <c r="F228" s="58" t="s">
        <v>381</v>
      </c>
      <c r="G228" s="59" t="s">
        <v>468</v>
      </c>
      <c r="H228" s="58" t="s">
        <v>698</v>
      </c>
      <c r="I228" s="59" t="s">
        <v>699</v>
      </c>
      <c r="J228" s="58" t="s">
        <v>334</v>
      </c>
      <c r="K228" s="58" t="s">
        <v>0</v>
      </c>
    </row>
    <row r="229" spans="1:11" x14ac:dyDescent="0.25">
      <c r="A229" s="55" t="str">
        <f t="shared" si="3"/>
        <v>001810120049</v>
      </c>
      <c r="B229" s="58" t="s">
        <v>188</v>
      </c>
      <c r="C229" s="59" t="s">
        <v>697</v>
      </c>
      <c r="D229" s="58" t="s">
        <v>464</v>
      </c>
      <c r="E229" s="59" t="s">
        <v>692</v>
      </c>
      <c r="F229" s="58" t="s">
        <v>392</v>
      </c>
      <c r="G229" s="59" t="s">
        <v>471</v>
      </c>
      <c r="H229" s="58" t="s">
        <v>698</v>
      </c>
      <c r="I229" s="59" t="s">
        <v>699</v>
      </c>
      <c r="J229" s="58" t="s">
        <v>334</v>
      </c>
      <c r="K229" s="58" t="s">
        <v>429</v>
      </c>
    </row>
    <row r="230" spans="1:11" x14ac:dyDescent="0.25">
      <c r="A230" s="55" t="str">
        <f t="shared" si="3"/>
        <v>001810130049</v>
      </c>
      <c r="B230" s="58" t="s">
        <v>188</v>
      </c>
      <c r="C230" s="59" t="s">
        <v>697</v>
      </c>
      <c r="D230" s="58" t="s">
        <v>464</v>
      </c>
      <c r="E230" s="59" t="s">
        <v>692</v>
      </c>
      <c r="F230" s="58" t="s">
        <v>393</v>
      </c>
      <c r="G230" s="59" t="s">
        <v>472</v>
      </c>
      <c r="H230" s="58" t="s">
        <v>698</v>
      </c>
      <c r="I230" s="59" t="s">
        <v>699</v>
      </c>
      <c r="J230" s="58" t="s">
        <v>334</v>
      </c>
      <c r="K230" s="58" t="s">
        <v>0</v>
      </c>
    </row>
    <row r="231" spans="1:11" x14ac:dyDescent="0.25">
      <c r="A231" s="55" t="str">
        <f t="shared" si="3"/>
        <v>001810020050</v>
      </c>
      <c r="B231" s="58" t="s">
        <v>270</v>
      </c>
      <c r="C231" s="59" t="s">
        <v>700</v>
      </c>
      <c r="D231" s="58" t="s">
        <v>464</v>
      </c>
      <c r="E231" s="59" t="s">
        <v>692</v>
      </c>
      <c r="F231" s="58" t="s">
        <v>380</v>
      </c>
      <c r="G231" s="59" t="s">
        <v>467</v>
      </c>
      <c r="H231" s="58" t="s">
        <v>701</v>
      </c>
      <c r="I231" s="59" t="s">
        <v>702</v>
      </c>
      <c r="J231" s="58" t="s">
        <v>334</v>
      </c>
      <c r="K231" s="58" t="s">
        <v>0</v>
      </c>
    </row>
    <row r="232" spans="1:11" x14ac:dyDescent="0.25">
      <c r="A232" s="55" t="str">
        <f t="shared" si="3"/>
        <v>001810030050</v>
      </c>
      <c r="B232" s="58" t="s">
        <v>270</v>
      </c>
      <c r="C232" s="59" t="s">
        <v>700</v>
      </c>
      <c r="D232" s="58" t="s">
        <v>464</v>
      </c>
      <c r="E232" s="59" t="s">
        <v>692</v>
      </c>
      <c r="F232" s="58" t="s">
        <v>381</v>
      </c>
      <c r="G232" s="59" t="s">
        <v>468</v>
      </c>
      <c r="H232" s="58" t="s">
        <v>701</v>
      </c>
      <c r="I232" s="59" t="s">
        <v>702</v>
      </c>
      <c r="J232" s="58" t="s">
        <v>334</v>
      </c>
      <c r="K232" s="58" t="s">
        <v>0</v>
      </c>
    </row>
    <row r="233" spans="1:11" x14ac:dyDescent="0.25">
      <c r="A233" s="55" t="str">
        <f t="shared" si="3"/>
        <v>001810120050</v>
      </c>
      <c r="B233" s="58" t="s">
        <v>270</v>
      </c>
      <c r="C233" s="59" t="s">
        <v>700</v>
      </c>
      <c r="D233" s="58" t="s">
        <v>464</v>
      </c>
      <c r="E233" s="59" t="s">
        <v>692</v>
      </c>
      <c r="F233" s="58" t="s">
        <v>392</v>
      </c>
      <c r="G233" s="59" t="s">
        <v>471</v>
      </c>
      <c r="H233" s="58" t="s">
        <v>701</v>
      </c>
      <c r="I233" s="59" t="s">
        <v>702</v>
      </c>
      <c r="J233" s="58" t="s">
        <v>334</v>
      </c>
      <c r="K233" s="58" t="s">
        <v>0</v>
      </c>
    </row>
    <row r="234" spans="1:11" x14ac:dyDescent="0.25">
      <c r="A234" s="55" t="str">
        <f t="shared" si="3"/>
        <v>001810130050</v>
      </c>
      <c r="B234" s="58" t="s">
        <v>270</v>
      </c>
      <c r="C234" s="59" t="s">
        <v>700</v>
      </c>
      <c r="D234" s="58" t="s">
        <v>464</v>
      </c>
      <c r="E234" s="59" t="s">
        <v>692</v>
      </c>
      <c r="F234" s="58" t="s">
        <v>393</v>
      </c>
      <c r="G234" s="59" t="s">
        <v>472</v>
      </c>
      <c r="H234" s="58" t="s">
        <v>701</v>
      </c>
      <c r="I234" s="59" t="s">
        <v>702</v>
      </c>
      <c r="J234" s="58" t="s">
        <v>334</v>
      </c>
      <c r="K234" s="58" t="s">
        <v>429</v>
      </c>
    </row>
    <row r="235" spans="1:11" x14ac:dyDescent="0.25">
      <c r="A235" s="55" t="str">
        <f t="shared" si="3"/>
        <v>001810020051</v>
      </c>
      <c r="B235" s="58" t="s">
        <v>189</v>
      </c>
      <c r="C235" s="59" t="s">
        <v>703</v>
      </c>
      <c r="D235" s="58" t="s">
        <v>464</v>
      </c>
      <c r="E235" s="59" t="s">
        <v>692</v>
      </c>
      <c r="F235" s="58" t="s">
        <v>380</v>
      </c>
      <c r="G235" s="59" t="s">
        <v>467</v>
      </c>
      <c r="H235" s="58" t="s">
        <v>704</v>
      </c>
      <c r="I235" s="59" t="s">
        <v>705</v>
      </c>
      <c r="J235" s="58" t="s">
        <v>334</v>
      </c>
      <c r="K235" s="58" t="s">
        <v>0</v>
      </c>
    </row>
    <row r="236" spans="1:11" x14ac:dyDescent="0.25">
      <c r="A236" s="55" t="str">
        <f t="shared" si="3"/>
        <v>001810030051</v>
      </c>
      <c r="B236" s="58" t="s">
        <v>189</v>
      </c>
      <c r="C236" s="59" t="s">
        <v>703</v>
      </c>
      <c r="D236" s="58" t="s">
        <v>464</v>
      </c>
      <c r="E236" s="59" t="s">
        <v>692</v>
      </c>
      <c r="F236" s="58" t="s">
        <v>381</v>
      </c>
      <c r="G236" s="59" t="s">
        <v>468</v>
      </c>
      <c r="H236" s="58" t="s">
        <v>704</v>
      </c>
      <c r="I236" s="59" t="s">
        <v>705</v>
      </c>
      <c r="J236" s="58" t="s">
        <v>334</v>
      </c>
      <c r="K236" s="58" t="s">
        <v>0</v>
      </c>
    </row>
    <row r="237" spans="1:11" x14ac:dyDescent="0.25">
      <c r="A237" s="55" t="str">
        <f t="shared" si="3"/>
        <v>001810120051</v>
      </c>
      <c r="B237" s="58" t="s">
        <v>189</v>
      </c>
      <c r="C237" s="59" t="s">
        <v>703</v>
      </c>
      <c r="D237" s="58" t="s">
        <v>464</v>
      </c>
      <c r="E237" s="59" t="s">
        <v>692</v>
      </c>
      <c r="F237" s="58" t="s">
        <v>392</v>
      </c>
      <c r="G237" s="59" t="s">
        <v>471</v>
      </c>
      <c r="H237" s="58" t="s">
        <v>704</v>
      </c>
      <c r="I237" s="59" t="s">
        <v>705</v>
      </c>
      <c r="J237" s="58" t="s">
        <v>334</v>
      </c>
      <c r="K237" s="58" t="s">
        <v>429</v>
      </c>
    </row>
    <row r="238" spans="1:11" x14ac:dyDescent="0.25">
      <c r="A238" s="55" t="str">
        <f t="shared" si="3"/>
        <v>001810130051</v>
      </c>
      <c r="B238" s="58" t="s">
        <v>189</v>
      </c>
      <c r="C238" s="59" t="s">
        <v>703</v>
      </c>
      <c r="D238" s="58" t="s">
        <v>464</v>
      </c>
      <c r="E238" s="59" t="s">
        <v>692</v>
      </c>
      <c r="F238" s="58" t="s">
        <v>393</v>
      </c>
      <c r="G238" s="59" t="s">
        <v>472</v>
      </c>
      <c r="H238" s="58" t="s">
        <v>704</v>
      </c>
      <c r="I238" s="59" t="s">
        <v>705</v>
      </c>
      <c r="J238" s="58" t="s">
        <v>334</v>
      </c>
      <c r="K238" s="58" t="s">
        <v>0</v>
      </c>
    </row>
    <row r="239" spans="1:11" x14ac:dyDescent="0.25">
      <c r="A239" s="55" t="str">
        <f t="shared" si="3"/>
        <v>001810040049</v>
      </c>
      <c r="B239" s="58" t="s">
        <v>190</v>
      </c>
      <c r="C239" s="59" t="s">
        <v>706</v>
      </c>
      <c r="D239" s="58" t="s">
        <v>464</v>
      </c>
      <c r="E239" s="59" t="s">
        <v>692</v>
      </c>
      <c r="F239" s="58" t="s">
        <v>382</v>
      </c>
      <c r="G239" s="59" t="s">
        <v>444</v>
      </c>
      <c r="H239" s="58" t="s">
        <v>698</v>
      </c>
      <c r="I239" s="59" t="s">
        <v>699</v>
      </c>
      <c r="J239" s="58" t="s">
        <v>331</v>
      </c>
      <c r="K239" s="58" t="s">
        <v>429</v>
      </c>
    </row>
    <row r="240" spans="1:11" x14ac:dyDescent="0.25">
      <c r="A240" s="55" t="str">
        <f t="shared" si="3"/>
        <v>001810050049</v>
      </c>
      <c r="B240" s="58" t="s">
        <v>190</v>
      </c>
      <c r="C240" s="59" t="s">
        <v>706</v>
      </c>
      <c r="D240" s="58" t="s">
        <v>464</v>
      </c>
      <c r="E240" s="59" t="s">
        <v>692</v>
      </c>
      <c r="F240" s="58" t="s">
        <v>385</v>
      </c>
      <c r="G240" s="59" t="s">
        <v>469</v>
      </c>
      <c r="H240" s="58" t="s">
        <v>698</v>
      </c>
      <c r="I240" s="59" t="s">
        <v>699</v>
      </c>
      <c r="J240" s="58" t="s">
        <v>331</v>
      </c>
      <c r="K240" s="58" t="s">
        <v>0</v>
      </c>
    </row>
    <row r="241" spans="1:11" x14ac:dyDescent="0.25">
      <c r="A241" s="55" t="str">
        <f t="shared" si="3"/>
        <v>001810060049</v>
      </c>
      <c r="B241" s="58" t="s">
        <v>190</v>
      </c>
      <c r="C241" s="59" t="s">
        <v>706</v>
      </c>
      <c r="D241" s="58" t="s">
        <v>464</v>
      </c>
      <c r="E241" s="59" t="s">
        <v>692</v>
      </c>
      <c r="F241" s="58" t="s">
        <v>386</v>
      </c>
      <c r="G241" s="59" t="s">
        <v>470</v>
      </c>
      <c r="H241" s="58" t="s">
        <v>698</v>
      </c>
      <c r="I241" s="59" t="s">
        <v>699</v>
      </c>
      <c r="J241" s="58" t="s">
        <v>331</v>
      </c>
      <c r="K241" s="58" t="s">
        <v>0</v>
      </c>
    </row>
    <row r="242" spans="1:11" x14ac:dyDescent="0.25">
      <c r="A242" s="55" t="str">
        <f t="shared" si="3"/>
        <v>001810040050</v>
      </c>
      <c r="B242" s="58" t="s">
        <v>271</v>
      </c>
      <c r="C242" s="59" t="s">
        <v>707</v>
      </c>
      <c r="D242" s="58" t="s">
        <v>464</v>
      </c>
      <c r="E242" s="59" t="s">
        <v>692</v>
      </c>
      <c r="F242" s="58" t="s">
        <v>382</v>
      </c>
      <c r="G242" s="59" t="s">
        <v>444</v>
      </c>
      <c r="H242" s="58" t="s">
        <v>701</v>
      </c>
      <c r="I242" s="59" t="s">
        <v>702</v>
      </c>
      <c r="J242" s="58" t="s">
        <v>331</v>
      </c>
      <c r="K242" s="58" t="s">
        <v>429</v>
      </c>
    </row>
    <row r="243" spans="1:11" x14ac:dyDescent="0.25">
      <c r="A243" s="55" t="str">
        <f t="shared" si="3"/>
        <v>001810050050</v>
      </c>
      <c r="B243" s="58" t="s">
        <v>271</v>
      </c>
      <c r="C243" s="59" t="s">
        <v>707</v>
      </c>
      <c r="D243" s="58" t="s">
        <v>464</v>
      </c>
      <c r="E243" s="59" t="s">
        <v>692</v>
      </c>
      <c r="F243" s="58" t="s">
        <v>385</v>
      </c>
      <c r="G243" s="59" t="s">
        <v>469</v>
      </c>
      <c r="H243" s="58" t="s">
        <v>701</v>
      </c>
      <c r="I243" s="59" t="s">
        <v>702</v>
      </c>
      <c r="J243" s="58" t="s">
        <v>331</v>
      </c>
      <c r="K243" s="58" t="s">
        <v>0</v>
      </c>
    </row>
    <row r="244" spans="1:11" x14ac:dyDescent="0.25">
      <c r="A244" s="55" t="str">
        <f t="shared" si="3"/>
        <v>001810060050</v>
      </c>
      <c r="B244" s="58" t="s">
        <v>271</v>
      </c>
      <c r="C244" s="59" t="s">
        <v>707</v>
      </c>
      <c r="D244" s="58" t="s">
        <v>464</v>
      </c>
      <c r="E244" s="59" t="s">
        <v>692</v>
      </c>
      <c r="F244" s="58" t="s">
        <v>386</v>
      </c>
      <c r="G244" s="59" t="s">
        <v>470</v>
      </c>
      <c r="H244" s="58" t="s">
        <v>701</v>
      </c>
      <c r="I244" s="59" t="s">
        <v>702</v>
      </c>
      <c r="J244" s="58" t="s">
        <v>331</v>
      </c>
      <c r="K244" s="58" t="s">
        <v>0</v>
      </c>
    </row>
    <row r="245" spans="1:11" x14ac:dyDescent="0.25">
      <c r="A245" s="55" t="str">
        <f t="shared" si="3"/>
        <v>001810040051</v>
      </c>
      <c r="B245" s="58" t="s">
        <v>191</v>
      </c>
      <c r="C245" s="59" t="s">
        <v>708</v>
      </c>
      <c r="D245" s="58" t="s">
        <v>464</v>
      </c>
      <c r="E245" s="59" t="s">
        <v>692</v>
      </c>
      <c r="F245" s="58" t="s">
        <v>382</v>
      </c>
      <c r="G245" s="59" t="s">
        <v>444</v>
      </c>
      <c r="H245" s="58" t="s">
        <v>704</v>
      </c>
      <c r="I245" s="59" t="s">
        <v>705</v>
      </c>
      <c r="J245" s="58" t="s">
        <v>331</v>
      </c>
      <c r="K245" s="58" t="s">
        <v>429</v>
      </c>
    </row>
    <row r="246" spans="1:11" x14ac:dyDescent="0.25">
      <c r="A246" s="55" t="str">
        <f t="shared" si="3"/>
        <v>001810050051</v>
      </c>
      <c r="B246" s="58" t="s">
        <v>191</v>
      </c>
      <c r="C246" s="59" t="s">
        <v>708</v>
      </c>
      <c r="D246" s="58" t="s">
        <v>464</v>
      </c>
      <c r="E246" s="59" t="s">
        <v>692</v>
      </c>
      <c r="F246" s="58" t="s">
        <v>385</v>
      </c>
      <c r="G246" s="59" t="s">
        <v>469</v>
      </c>
      <c r="H246" s="58" t="s">
        <v>704</v>
      </c>
      <c r="I246" s="59" t="s">
        <v>705</v>
      </c>
      <c r="J246" s="58" t="s">
        <v>331</v>
      </c>
      <c r="K246" s="58" t="s">
        <v>0</v>
      </c>
    </row>
    <row r="247" spans="1:11" x14ac:dyDescent="0.25">
      <c r="A247" s="55" t="str">
        <f t="shared" si="3"/>
        <v>001810060051</v>
      </c>
      <c r="B247" s="58" t="s">
        <v>191</v>
      </c>
      <c r="C247" s="59" t="s">
        <v>708</v>
      </c>
      <c r="D247" s="58" t="s">
        <v>464</v>
      </c>
      <c r="E247" s="59" t="s">
        <v>692</v>
      </c>
      <c r="F247" s="58" t="s">
        <v>386</v>
      </c>
      <c r="G247" s="59" t="s">
        <v>470</v>
      </c>
      <c r="H247" s="58" t="s">
        <v>704</v>
      </c>
      <c r="I247" s="59" t="s">
        <v>705</v>
      </c>
      <c r="J247" s="58" t="s">
        <v>331</v>
      </c>
      <c r="K247" s="58" t="s">
        <v>0</v>
      </c>
    </row>
    <row r="248" spans="1:11" x14ac:dyDescent="0.25">
      <c r="A248" s="55" t="str">
        <f t="shared" si="3"/>
        <v>001810140049</v>
      </c>
      <c r="B248" s="58" t="s">
        <v>192</v>
      </c>
      <c r="C248" s="59" t="s">
        <v>709</v>
      </c>
      <c r="D248" s="58" t="s">
        <v>464</v>
      </c>
      <c r="E248" s="59" t="s">
        <v>692</v>
      </c>
      <c r="F248" s="58" t="s">
        <v>401</v>
      </c>
      <c r="G248" s="59" t="s">
        <v>484</v>
      </c>
      <c r="H248" s="58" t="s">
        <v>698</v>
      </c>
      <c r="I248" s="59" t="s">
        <v>699</v>
      </c>
      <c r="J248" s="58" t="s">
        <v>428</v>
      </c>
      <c r="K248" s="58" t="s">
        <v>429</v>
      </c>
    </row>
    <row r="249" spans="1:11" x14ac:dyDescent="0.25">
      <c r="A249" s="55" t="str">
        <f t="shared" si="3"/>
        <v>001810080051</v>
      </c>
      <c r="B249" s="58" t="s">
        <v>193</v>
      </c>
      <c r="C249" s="59" t="s">
        <v>710</v>
      </c>
      <c r="D249" s="58" t="s">
        <v>464</v>
      </c>
      <c r="E249" s="59" t="s">
        <v>692</v>
      </c>
      <c r="F249" s="58" t="s">
        <v>398</v>
      </c>
      <c r="G249" s="59" t="s">
        <v>605</v>
      </c>
      <c r="H249" s="58" t="s">
        <v>704</v>
      </c>
      <c r="I249" s="59" t="s">
        <v>705</v>
      </c>
      <c r="J249" s="58" t="s">
        <v>428</v>
      </c>
      <c r="K249" s="58" t="s">
        <v>429</v>
      </c>
    </row>
    <row r="250" spans="1:11" x14ac:dyDescent="0.25">
      <c r="A250" s="55" t="str">
        <f t="shared" si="3"/>
        <v>001810090046</v>
      </c>
      <c r="B250" s="58" t="s">
        <v>195</v>
      </c>
      <c r="C250" s="59" t="s">
        <v>711</v>
      </c>
      <c r="D250" s="58" t="s">
        <v>464</v>
      </c>
      <c r="E250" s="59" t="s">
        <v>692</v>
      </c>
      <c r="F250" s="58" t="s">
        <v>335</v>
      </c>
      <c r="G250" s="59" t="s">
        <v>530</v>
      </c>
      <c r="H250" s="58" t="s">
        <v>712</v>
      </c>
      <c r="I250" s="59" t="s">
        <v>713</v>
      </c>
      <c r="J250" s="58" t="s">
        <v>428</v>
      </c>
      <c r="K250" s="58" t="s">
        <v>429</v>
      </c>
    </row>
    <row r="251" spans="1:11" x14ac:dyDescent="0.25">
      <c r="A251" s="55" t="str">
        <f t="shared" si="3"/>
        <v>001110050012</v>
      </c>
      <c r="B251" s="58" t="s">
        <v>97</v>
      </c>
      <c r="C251" s="59" t="s">
        <v>714</v>
      </c>
      <c r="D251" s="58" t="s">
        <v>387</v>
      </c>
      <c r="E251" s="59" t="s">
        <v>440</v>
      </c>
      <c r="F251" s="58" t="s">
        <v>385</v>
      </c>
      <c r="G251" s="59" t="s">
        <v>469</v>
      </c>
      <c r="H251" s="58" t="s">
        <v>376</v>
      </c>
      <c r="I251" s="59" t="s">
        <v>545</v>
      </c>
      <c r="J251" s="58" t="s">
        <v>428</v>
      </c>
      <c r="K251" s="58" t="s">
        <v>429</v>
      </c>
    </row>
    <row r="252" spans="1:11" x14ac:dyDescent="0.25">
      <c r="A252" s="55" t="str">
        <f t="shared" si="3"/>
        <v>001110050020</v>
      </c>
      <c r="B252" s="58" t="s">
        <v>142</v>
      </c>
      <c r="C252" s="59" t="s">
        <v>715</v>
      </c>
      <c r="D252" s="58" t="s">
        <v>387</v>
      </c>
      <c r="E252" s="59" t="s">
        <v>440</v>
      </c>
      <c r="F252" s="58" t="s">
        <v>385</v>
      </c>
      <c r="G252" s="59" t="s">
        <v>469</v>
      </c>
      <c r="H252" s="58" t="s">
        <v>397</v>
      </c>
      <c r="I252" s="59" t="s">
        <v>716</v>
      </c>
      <c r="J252" s="58" t="s">
        <v>428</v>
      </c>
      <c r="K252" s="58" t="s">
        <v>429</v>
      </c>
    </row>
    <row r="253" spans="1:11" x14ac:dyDescent="0.25">
      <c r="A253" s="55" t="str">
        <f t="shared" si="3"/>
        <v>001210050012</v>
      </c>
      <c r="B253" s="58" t="s">
        <v>98</v>
      </c>
      <c r="C253" s="59" t="s">
        <v>717</v>
      </c>
      <c r="D253" s="58" t="s">
        <v>376</v>
      </c>
      <c r="E253" s="59" t="s">
        <v>619</v>
      </c>
      <c r="F253" s="58" t="s">
        <v>385</v>
      </c>
      <c r="G253" s="59" t="s">
        <v>469</v>
      </c>
      <c r="H253" s="58" t="s">
        <v>376</v>
      </c>
      <c r="I253" s="59" t="s">
        <v>545</v>
      </c>
      <c r="J253" s="58" t="s">
        <v>428</v>
      </c>
      <c r="K253" s="58" t="s">
        <v>429</v>
      </c>
    </row>
    <row r="254" spans="1:11" x14ac:dyDescent="0.25">
      <c r="A254" s="55" t="str">
        <f t="shared" si="3"/>
        <v>001210130012</v>
      </c>
      <c r="B254" s="58" t="s">
        <v>133</v>
      </c>
      <c r="C254" s="59" t="s">
        <v>718</v>
      </c>
      <c r="D254" s="58" t="s">
        <v>376</v>
      </c>
      <c r="E254" s="59" t="s">
        <v>619</v>
      </c>
      <c r="F254" s="58" t="s">
        <v>393</v>
      </c>
      <c r="G254" s="59" t="s">
        <v>472</v>
      </c>
      <c r="H254" s="58" t="s">
        <v>376</v>
      </c>
      <c r="I254" s="59" t="s">
        <v>545</v>
      </c>
      <c r="J254" s="58" t="s">
        <v>331</v>
      </c>
      <c r="K254" s="58" t="s">
        <v>429</v>
      </c>
    </row>
    <row r="255" spans="1:11" x14ac:dyDescent="0.25">
      <c r="A255" s="55" t="str">
        <f t="shared" si="3"/>
        <v>001210130052</v>
      </c>
      <c r="B255" s="58" t="s">
        <v>133</v>
      </c>
      <c r="C255" s="59" t="s">
        <v>718</v>
      </c>
      <c r="D255" s="58" t="s">
        <v>376</v>
      </c>
      <c r="E255" s="59" t="s">
        <v>619</v>
      </c>
      <c r="F255" s="58" t="s">
        <v>393</v>
      </c>
      <c r="G255" s="59" t="s">
        <v>472</v>
      </c>
      <c r="H255" s="58" t="s">
        <v>615</v>
      </c>
      <c r="I255" s="59" t="s">
        <v>616</v>
      </c>
      <c r="J255" s="58" t="s">
        <v>331</v>
      </c>
      <c r="K255" s="58" t="s">
        <v>0</v>
      </c>
    </row>
    <row r="256" spans="1:11" x14ac:dyDescent="0.25">
      <c r="A256" s="55" t="str">
        <f t="shared" si="3"/>
        <v>001210130056</v>
      </c>
      <c r="B256" s="58" t="s">
        <v>133</v>
      </c>
      <c r="C256" s="59" t="s">
        <v>718</v>
      </c>
      <c r="D256" s="58" t="s">
        <v>376</v>
      </c>
      <c r="E256" s="59" t="s">
        <v>619</v>
      </c>
      <c r="F256" s="58" t="s">
        <v>393</v>
      </c>
      <c r="G256" s="59" t="s">
        <v>472</v>
      </c>
      <c r="H256" s="58" t="s">
        <v>400</v>
      </c>
      <c r="I256" s="59" t="s">
        <v>617</v>
      </c>
      <c r="J256" s="58" t="s">
        <v>331</v>
      </c>
      <c r="K256" s="58" t="s">
        <v>0</v>
      </c>
    </row>
    <row r="257" spans="1:11" x14ac:dyDescent="0.25">
      <c r="A257" s="55" t="str">
        <f t="shared" si="3"/>
        <v>001210030012</v>
      </c>
      <c r="B257" s="58" t="s">
        <v>127</v>
      </c>
      <c r="C257" s="59" t="s">
        <v>719</v>
      </c>
      <c r="D257" s="58" t="s">
        <v>376</v>
      </c>
      <c r="E257" s="59" t="s">
        <v>619</v>
      </c>
      <c r="F257" s="58" t="s">
        <v>381</v>
      </c>
      <c r="G257" s="59" t="s">
        <v>468</v>
      </c>
      <c r="H257" s="58" t="s">
        <v>376</v>
      </c>
      <c r="I257" s="59" t="s">
        <v>545</v>
      </c>
      <c r="J257" s="58" t="s">
        <v>331</v>
      </c>
      <c r="K257" s="58" t="s">
        <v>429</v>
      </c>
    </row>
    <row r="258" spans="1:11" x14ac:dyDescent="0.25">
      <c r="A258" s="55" t="str">
        <f t="shared" si="3"/>
        <v>001210030052</v>
      </c>
      <c r="B258" s="58" t="s">
        <v>127</v>
      </c>
      <c r="C258" s="59" t="s">
        <v>719</v>
      </c>
      <c r="D258" s="58" t="s">
        <v>376</v>
      </c>
      <c r="E258" s="59" t="s">
        <v>619</v>
      </c>
      <c r="F258" s="58" t="s">
        <v>381</v>
      </c>
      <c r="G258" s="59" t="s">
        <v>468</v>
      </c>
      <c r="H258" s="58" t="s">
        <v>615</v>
      </c>
      <c r="I258" s="59" t="s">
        <v>616</v>
      </c>
      <c r="J258" s="58" t="s">
        <v>331</v>
      </c>
      <c r="K258" s="58" t="s">
        <v>0</v>
      </c>
    </row>
    <row r="259" spans="1:11" x14ac:dyDescent="0.25">
      <c r="A259" s="55" t="str">
        <f t="shared" si="3"/>
        <v>001210030056</v>
      </c>
      <c r="B259" s="58" t="s">
        <v>127</v>
      </c>
      <c r="C259" s="59" t="s">
        <v>719</v>
      </c>
      <c r="D259" s="58" t="s">
        <v>376</v>
      </c>
      <c r="E259" s="59" t="s">
        <v>619</v>
      </c>
      <c r="F259" s="58" t="s">
        <v>381</v>
      </c>
      <c r="G259" s="59" t="s">
        <v>468</v>
      </c>
      <c r="H259" s="58" t="s">
        <v>400</v>
      </c>
      <c r="I259" s="59" t="s">
        <v>617</v>
      </c>
      <c r="J259" s="58" t="s">
        <v>331</v>
      </c>
      <c r="K259" s="58" t="s">
        <v>0</v>
      </c>
    </row>
    <row r="260" spans="1:11" x14ac:dyDescent="0.25">
      <c r="A260" s="55" t="str">
        <f t="shared" ref="A260:A323" si="4">D260&amp;F260&amp;H260</f>
        <v>001110030012</v>
      </c>
      <c r="B260" s="58" t="s">
        <v>128</v>
      </c>
      <c r="C260" s="59" t="s">
        <v>720</v>
      </c>
      <c r="D260" s="58" t="s">
        <v>387</v>
      </c>
      <c r="E260" s="59" t="s">
        <v>440</v>
      </c>
      <c r="F260" s="58" t="s">
        <v>381</v>
      </c>
      <c r="G260" s="59" t="s">
        <v>468</v>
      </c>
      <c r="H260" s="58" t="s">
        <v>376</v>
      </c>
      <c r="I260" s="59" t="s">
        <v>545</v>
      </c>
      <c r="J260" s="58" t="s">
        <v>331</v>
      </c>
      <c r="K260" s="58" t="s">
        <v>429</v>
      </c>
    </row>
    <row r="261" spans="1:11" x14ac:dyDescent="0.25">
      <c r="A261" s="55" t="str">
        <f t="shared" si="4"/>
        <v>001110030052</v>
      </c>
      <c r="B261" s="58" t="s">
        <v>128</v>
      </c>
      <c r="C261" s="59" t="s">
        <v>720</v>
      </c>
      <c r="D261" s="58" t="s">
        <v>387</v>
      </c>
      <c r="E261" s="59" t="s">
        <v>440</v>
      </c>
      <c r="F261" s="58" t="s">
        <v>381</v>
      </c>
      <c r="G261" s="59" t="s">
        <v>468</v>
      </c>
      <c r="H261" s="58" t="s">
        <v>615</v>
      </c>
      <c r="I261" s="59" t="s">
        <v>616</v>
      </c>
      <c r="J261" s="58" t="s">
        <v>331</v>
      </c>
      <c r="K261" s="58" t="s">
        <v>0</v>
      </c>
    </row>
    <row r="262" spans="1:11" x14ac:dyDescent="0.25">
      <c r="A262" s="55" t="str">
        <f t="shared" si="4"/>
        <v>001110030056</v>
      </c>
      <c r="B262" s="58" t="s">
        <v>128</v>
      </c>
      <c r="C262" s="59" t="s">
        <v>720</v>
      </c>
      <c r="D262" s="58" t="s">
        <v>387</v>
      </c>
      <c r="E262" s="59" t="s">
        <v>440</v>
      </c>
      <c r="F262" s="58" t="s">
        <v>381</v>
      </c>
      <c r="G262" s="59" t="s">
        <v>468</v>
      </c>
      <c r="H262" s="58" t="s">
        <v>400</v>
      </c>
      <c r="I262" s="59" t="s">
        <v>617</v>
      </c>
      <c r="J262" s="58" t="s">
        <v>331</v>
      </c>
      <c r="K262" s="58" t="s">
        <v>0</v>
      </c>
    </row>
    <row r="263" spans="1:11" x14ac:dyDescent="0.25">
      <c r="A263" s="55" t="str">
        <f t="shared" si="4"/>
        <v>001110050047</v>
      </c>
      <c r="B263" s="58" t="s">
        <v>99</v>
      </c>
      <c r="C263" s="59" t="s">
        <v>721</v>
      </c>
      <c r="D263" s="58" t="s">
        <v>387</v>
      </c>
      <c r="E263" s="59" t="s">
        <v>440</v>
      </c>
      <c r="F263" s="58" t="s">
        <v>385</v>
      </c>
      <c r="G263" s="59" t="s">
        <v>469</v>
      </c>
      <c r="H263" s="58" t="s">
        <v>383</v>
      </c>
      <c r="I263" s="59" t="s">
        <v>662</v>
      </c>
      <c r="J263" s="58" t="s">
        <v>428</v>
      </c>
      <c r="K263" s="58" t="s">
        <v>429</v>
      </c>
    </row>
    <row r="264" spans="1:11" x14ac:dyDescent="0.25">
      <c r="A264" s="55" t="str">
        <f t="shared" si="4"/>
        <v>001210050047</v>
      </c>
      <c r="B264" s="58" t="s">
        <v>101</v>
      </c>
      <c r="C264" s="59" t="s">
        <v>722</v>
      </c>
      <c r="D264" s="58" t="s">
        <v>376</v>
      </c>
      <c r="E264" s="59" t="s">
        <v>619</v>
      </c>
      <c r="F264" s="58" t="s">
        <v>385</v>
      </c>
      <c r="G264" s="59" t="s">
        <v>469</v>
      </c>
      <c r="H264" s="58" t="s">
        <v>383</v>
      </c>
      <c r="I264" s="59" t="s">
        <v>662</v>
      </c>
      <c r="J264" s="58" t="s">
        <v>428</v>
      </c>
      <c r="K264" s="58" t="s">
        <v>429</v>
      </c>
    </row>
    <row r="265" spans="1:11" x14ac:dyDescent="0.25">
      <c r="A265" s="55" t="str">
        <f t="shared" si="4"/>
        <v>001110130012</v>
      </c>
      <c r="B265" s="58" t="s">
        <v>134</v>
      </c>
      <c r="C265" s="59" t="s">
        <v>723</v>
      </c>
      <c r="D265" s="58" t="s">
        <v>387</v>
      </c>
      <c r="E265" s="59" t="s">
        <v>440</v>
      </c>
      <c r="F265" s="58" t="s">
        <v>393</v>
      </c>
      <c r="G265" s="59" t="s">
        <v>472</v>
      </c>
      <c r="H265" s="58" t="s">
        <v>376</v>
      </c>
      <c r="I265" s="59" t="s">
        <v>545</v>
      </c>
      <c r="J265" s="58" t="s">
        <v>331</v>
      </c>
      <c r="K265" s="58" t="s">
        <v>429</v>
      </c>
    </row>
    <row r="266" spans="1:11" x14ac:dyDescent="0.25">
      <c r="A266" s="55" t="str">
        <f t="shared" si="4"/>
        <v>001110130052</v>
      </c>
      <c r="B266" s="58" t="s">
        <v>134</v>
      </c>
      <c r="C266" s="59" t="s">
        <v>723</v>
      </c>
      <c r="D266" s="58" t="s">
        <v>387</v>
      </c>
      <c r="E266" s="59" t="s">
        <v>440</v>
      </c>
      <c r="F266" s="58" t="s">
        <v>393</v>
      </c>
      <c r="G266" s="59" t="s">
        <v>472</v>
      </c>
      <c r="H266" s="58" t="s">
        <v>615</v>
      </c>
      <c r="I266" s="59" t="s">
        <v>616</v>
      </c>
      <c r="J266" s="58" t="s">
        <v>331</v>
      </c>
      <c r="K266" s="58" t="s">
        <v>0</v>
      </c>
    </row>
    <row r="267" spans="1:11" x14ac:dyDescent="0.25">
      <c r="A267" s="55" t="str">
        <f t="shared" si="4"/>
        <v>001110130056</v>
      </c>
      <c r="B267" s="58" t="s">
        <v>134</v>
      </c>
      <c r="C267" s="59" t="s">
        <v>723</v>
      </c>
      <c r="D267" s="58" t="s">
        <v>387</v>
      </c>
      <c r="E267" s="59" t="s">
        <v>440</v>
      </c>
      <c r="F267" s="58" t="s">
        <v>393</v>
      </c>
      <c r="G267" s="59" t="s">
        <v>472</v>
      </c>
      <c r="H267" s="58" t="s">
        <v>400</v>
      </c>
      <c r="I267" s="59" t="s">
        <v>617</v>
      </c>
      <c r="J267" s="58" t="s">
        <v>331</v>
      </c>
      <c r="K267" s="58" t="s">
        <v>0</v>
      </c>
    </row>
    <row r="268" spans="1:11" x14ac:dyDescent="0.25">
      <c r="A268" s="55" t="str">
        <f t="shared" si="4"/>
        <v>001110130048</v>
      </c>
      <c r="B268" s="58" t="s">
        <v>71</v>
      </c>
      <c r="C268" s="59" t="s">
        <v>724</v>
      </c>
      <c r="D268" s="58" t="s">
        <v>387</v>
      </c>
      <c r="E268" s="59" t="s">
        <v>440</v>
      </c>
      <c r="F268" s="58" t="s">
        <v>393</v>
      </c>
      <c r="G268" s="59" t="s">
        <v>472</v>
      </c>
      <c r="H268" s="58" t="s">
        <v>394</v>
      </c>
      <c r="I268" s="59" t="s">
        <v>651</v>
      </c>
      <c r="J268" s="58" t="s">
        <v>428</v>
      </c>
      <c r="K268" s="58" t="s">
        <v>429</v>
      </c>
    </row>
    <row r="269" spans="1:11" x14ac:dyDescent="0.25">
      <c r="A269" s="55" t="str">
        <f t="shared" si="4"/>
        <v>001210130048</v>
      </c>
      <c r="B269" s="58" t="s">
        <v>73</v>
      </c>
      <c r="C269" s="59" t="s">
        <v>725</v>
      </c>
      <c r="D269" s="58" t="s">
        <v>376</v>
      </c>
      <c r="E269" s="59" t="s">
        <v>619</v>
      </c>
      <c r="F269" s="58" t="s">
        <v>393</v>
      </c>
      <c r="G269" s="59" t="s">
        <v>472</v>
      </c>
      <c r="H269" s="58" t="s">
        <v>394</v>
      </c>
      <c r="I269" s="59" t="s">
        <v>651</v>
      </c>
      <c r="J269" s="58" t="s">
        <v>428</v>
      </c>
      <c r="K269" s="58" t="s">
        <v>429</v>
      </c>
    </row>
    <row r="270" spans="1:11" x14ac:dyDescent="0.25">
      <c r="A270" s="55" t="str">
        <f t="shared" si="4"/>
        <v>001310030035</v>
      </c>
      <c r="B270" s="58" t="s">
        <v>272</v>
      </c>
      <c r="C270" s="59" t="s">
        <v>726</v>
      </c>
      <c r="D270" s="58" t="s">
        <v>402</v>
      </c>
      <c r="E270" s="59" t="s">
        <v>604</v>
      </c>
      <c r="F270" s="58" t="s">
        <v>381</v>
      </c>
      <c r="G270" s="59" t="s">
        <v>468</v>
      </c>
      <c r="H270" s="58" t="s">
        <v>403</v>
      </c>
      <c r="I270" s="59" t="s">
        <v>604</v>
      </c>
      <c r="J270" s="58" t="s">
        <v>428</v>
      </c>
      <c r="K270" s="58" t="s">
        <v>429</v>
      </c>
    </row>
    <row r="271" spans="1:11" x14ac:dyDescent="0.25">
      <c r="A271" s="55" t="str">
        <f t="shared" si="4"/>
        <v>001310130063</v>
      </c>
      <c r="B271" s="58" t="s">
        <v>273</v>
      </c>
      <c r="C271" s="59" t="s">
        <v>727</v>
      </c>
      <c r="D271" s="58" t="s">
        <v>402</v>
      </c>
      <c r="E271" s="59" t="s">
        <v>604</v>
      </c>
      <c r="F271" s="58" t="s">
        <v>393</v>
      </c>
      <c r="G271" s="59" t="s">
        <v>472</v>
      </c>
      <c r="H271" s="58" t="s">
        <v>728</v>
      </c>
      <c r="I271" s="59" t="s">
        <v>729</v>
      </c>
      <c r="J271" s="58" t="s">
        <v>428</v>
      </c>
      <c r="K271" s="58" t="s">
        <v>429</v>
      </c>
    </row>
    <row r="272" spans="1:11" x14ac:dyDescent="0.25">
      <c r="A272" s="55" t="str">
        <f t="shared" si="4"/>
        <v>001310050035</v>
      </c>
      <c r="B272" s="58" t="s">
        <v>274</v>
      </c>
      <c r="C272" s="59" t="s">
        <v>730</v>
      </c>
      <c r="D272" s="58" t="s">
        <v>402</v>
      </c>
      <c r="E272" s="59" t="s">
        <v>604</v>
      </c>
      <c r="F272" s="58" t="s">
        <v>385</v>
      </c>
      <c r="G272" s="59" t="s">
        <v>469</v>
      </c>
      <c r="H272" s="58" t="s">
        <v>403</v>
      </c>
      <c r="I272" s="59" t="s">
        <v>604</v>
      </c>
      <c r="J272" s="58" t="s">
        <v>428</v>
      </c>
      <c r="K272" s="58" t="s">
        <v>429</v>
      </c>
    </row>
    <row r="273" spans="1:11" x14ac:dyDescent="0.25">
      <c r="A273" s="55" t="str">
        <f t="shared" si="4"/>
        <v>001310050040</v>
      </c>
      <c r="B273" s="58" t="s">
        <v>275</v>
      </c>
      <c r="C273" s="59" t="s">
        <v>731</v>
      </c>
      <c r="D273" s="58" t="s">
        <v>402</v>
      </c>
      <c r="E273" s="59" t="s">
        <v>604</v>
      </c>
      <c r="F273" s="58" t="s">
        <v>385</v>
      </c>
      <c r="G273" s="59" t="s">
        <v>469</v>
      </c>
      <c r="H273" s="58" t="s">
        <v>732</v>
      </c>
      <c r="I273" s="59" t="s">
        <v>733</v>
      </c>
      <c r="J273" s="58" t="s">
        <v>428</v>
      </c>
      <c r="K273" s="58" t="s">
        <v>429</v>
      </c>
    </row>
    <row r="274" spans="1:11" x14ac:dyDescent="0.25">
      <c r="A274" s="55" t="str">
        <f t="shared" si="4"/>
        <v>001310130035</v>
      </c>
      <c r="B274" s="58" t="s">
        <v>277</v>
      </c>
      <c r="C274" s="59" t="s">
        <v>734</v>
      </c>
      <c r="D274" s="58" t="s">
        <v>402</v>
      </c>
      <c r="E274" s="59" t="s">
        <v>604</v>
      </c>
      <c r="F274" s="58" t="s">
        <v>393</v>
      </c>
      <c r="G274" s="59" t="s">
        <v>472</v>
      </c>
      <c r="H274" s="58" t="s">
        <v>403</v>
      </c>
      <c r="I274" s="59" t="s">
        <v>604</v>
      </c>
      <c r="J274" s="58" t="s">
        <v>428</v>
      </c>
      <c r="K274" s="58" t="s">
        <v>429</v>
      </c>
    </row>
    <row r="275" spans="1:11" x14ac:dyDescent="0.25">
      <c r="A275" s="55" t="str">
        <f t="shared" si="4"/>
        <v>002510030058</v>
      </c>
      <c r="B275" s="58" t="s">
        <v>278</v>
      </c>
      <c r="C275" s="59" t="s">
        <v>735</v>
      </c>
      <c r="D275" s="58" t="s">
        <v>409</v>
      </c>
      <c r="E275" s="59" t="s">
        <v>678</v>
      </c>
      <c r="F275" s="58" t="s">
        <v>381</v>
      </c>
      <c r="G275" s="59" t="s">
        <v>468</v>
      </c>
      <c r="H275" s="58" t="s">
        <v>410</v>
      </c>
      <c r="I275" s="59" t="s">
        <v>679</v>
      </c>
      <c r="J275" s="58" t="s">
        <v>333</v>
      </c>
      <c r="K275" s="58" t="s">
        <v>429</v>
      </c>
    </row>
    <row r="276" spans="1:11" x14ac:dyDescent="0.25">
      <c r="A276" s="55" t="str">
        <f t="shared" si="4"/>
        <v>002610030058</v>
      </c>
      <c r="B276" s="58" t="s">
        <v>278</v>
      </c>
      <c r="C276" s="59" t="s">
        <v>735</v>
      </c>
      <c r="D276" s="58" t="s">
        <v>411</v>
      </c>
      <c r="E276" s="59" t="s">
        <v>680</v>
      </c>
      <c r="F276" s="58" t="s">
        <v>381</v>
      </c>
      <c r="G276" s="59" t="s">
        <v>468</v>
      </c>
      <c r="H276" s="58" t="s">
        <v>410</v>
      </c>
      <c r="I276" s="59" t="s">
        <v>679</v>
      </c>
      <c r="J276" s="58" t="s">
        <v>333</v>
      </c>
      <c r="K276" s="58" t="s">
        <v>0</v>
      </c>
    </row>
    <row r="277" spans="1:11" x14ac:dyDescent="0.25">
      <c r="A277" s="55" t="str">
        <f t="shared" si="4"/>
        <v>002510050058</v>
      </c>
      <c r="B277" s="58" t="s">
        <v>279</v>
      </c>
      <c r="C277" s="59" t="s">
        <v>735</v>
      </c>
      <c r="D277" s="58" t="s">
        <v>409</v>
      </c>
      <c r="E277" s="59" t="s">
        <v>678</v>
      </c>
      <c r="F277" s="58" t="s">
        <v>385</v>
      </c>
      <c r="G277" s="59" t="s">
        <v>469</v>
      </c>
      <c r="H277" s="58" t="s">
        <v>410</v>
      </c>
      <c r="I277" s="59" t="s">
        <v>679</v>
      </c>
      <c r="J277" s="58" t="s">
        <v>333</v>
      </c>
      <c r="K277" s="58" t="s">
        <v>429</v>
      </c>
    </row>
    <row r="278" spans="1:11" x14ac:dyDescent="0.25">
      <c r="A278" s="55" t="str">
        <f t="shared" si="4"/>
        <v>002610050058</v>
      </c>
      <c r="B278" s="58" t="s">
        <v>279</v>
      </c>
      <c r="C278" s="59" t="s">
        <v>735</v>
      </c>
      <c r="D278" s="58" t="s">
        <v>411</v>
      </c>
      <c r="E278" s="59" t="s">
        <v>680</v>
      </c>
      <c r="F278" s="58" t="s">
        <v>385</v>
      </c>
      <c r="G278" s="59" t="s">
        <v>469</v>
      </c>
      <c r="H278" s="58" t="s">
        <v>410</v>
      </c>
      <c r="I278" s="59" t="s">
        <v>679</v>
      </c>
      <c r="J278" s="58" t="s">
        <v>333</v>
      </c>
      <c r="K278" s="58" t="s">
        <v>0</v>
      </c>
    </row>
    <row r="279" spans="1:11" x14ac:dyDescent="0.25">
      <c r="A279" s="55" t="str">
        <f t="shared" si="4"/>
        <v>000310050012</v>
      </c>
      <c r="B279" s="58" t="s">
        <v>182</v>
      </c>
      <c r="C279" s="59" t="s">
        <v>736</v>
      </c>
      <c r="D279" s="58" t="s">
        <v>375</v>
      </c>
      <c r="E279" s="59" t="s">
        <v>634</v>
      </c>
      <c r="F279" s="58" t="s">
        <v>385</v>
      </c>
      <c r="G279" s="59" t="s">
        <v>469</v>
      </c>
      <c r="H279" s="58" t="s">
        <v>376</v>
      </c>
      <c r="I279" s="59" t="s">
        <v>545</v>
      </c>
      <c r="J279" s="58" t="s">
        <v>428</v>
      </c>
      <c r="K279" s="58" t="s">
        <v>429</v>
      </c>
    </row>
    <row r="280" spans="1:11" x14ac:dyDescent="0.25">
      <c r="A280" s="55" t="str">
        <f t="shared" si="4"/>
        <v>001010050053</v>
      </c>
      <c r="B280" s="58" t="s">
        <v>144</v>
      </c>
      <c r="C280" s="59" t="e">
        <v>#N/A</v>
      </c>
      <c r="D280" s="58" t="s">
        <v>737</v>
      </c>
      <c r="E280" s="59" t="s">
        <v>738</v>
      </c>
      <c r="F280" s="58" t="s">
        <v>385</v>
      </c>
      <c r="G280" s="59" t="s">
        <v>469</v>
      </c>
      <c r="H280" s="58" t="s">
        <v>739</v>
      </c>
      <c r="I280" s="59" t="s">
        <v>740</v>
      </c>
      <c r="J280" s="58" t="s">
        <v>428</v>
      </c>
      <c r="K280" s="58" t="s">
        <v>429</v>
      </c>
    </row>
    <row r="281" spans="1:11" x14ac:dyDescent="0.25">
      <c r="A281" s="55" t="str">
        <f t="shared" si="4"/>
        <v>001010050053</v>
      </c>
      <c r="B281" s="58" t="s">
        <v>145</v>
      </c>
      <c r="C281" s="59" t="s">
        <v>741</v>
      </c>
      <c r="D281" s="58" t="s">
        <v>737</v>
      </c>
      <c r="E281" s="59" t="s">
        <v>738</v>
      </c>
      <c r="F281" s="58" t="s">
        <v>385</v>
      </c>
      <c r="G281" s="59" t="s">
        <v>469</v>
      </c>
      <c r="H281" s="58" t="s">
        <v>739</v>
      </c>
      <c r="I281" s="59" t="s">
        <v>740</v>
      </c>
      <c r="J281" s="58" t="s">
        <v>428</v>
      </c>
      <c r="K281" s="58" t="s">
        <v>429</v>
      </c>
    </row>
    <row r="282" spans="1:11" x14ac:dyDescent="0.25">
      <c r="A282" s="55" t="str">
        <f t="shared" si="4"/>
        <v>000310130012</v>
      </c>
      <c r="B282" s="58" t="s">
        <v>203</v>
      </c>
      <c r="C282" s="59" t="s">
        <v>742</v>
      </c>
      <c r="D282" s="58" t="s">
        <v>375</v>
      </c>
      <c r="E282" s="59" t="s">
        <v>634</v>
      </c>
      <c r="F282" s="58" t="s">
        <v>393</v>
      </c>
      <c r="G282" s="59" t="s">
        <v>472</v>
      </c>
      <c r="H282" s="58" t="s">
        <v>376</v>
      </c>
      <c r="I282" s="59" t="s">
        <v>545</v>
      </c>
      <c r="J282" s="58" t="s">
        <v>333</v>
      </c>
      <c r="K282" s="58" t="s">
        <v>429</v>
      </c>
    </row>
    <row r="283" spans="1:11" x14ac:dyDescent="0.25">
      <c r="A283" s="55" t="str">
        <f t="shared" si="4"/>
        <v>000310130057</v>
      </c>
      <c r="B283" s="58" t="s">
        <v>203</v>
      </c>
      <c r="C283" s="59" t="s">
        <v>742</v>
      </c>
      <c r="D283" s="58" t="s">
        <v>375</v>
      </c>
      <c r="E283" s="59" t="s">
        <v>634</v>
      </c>
      <c r="F283" s="58" t="s">
        <v>393</v>
      </c>
      <c r="G283" s="59" t="s">
        <v>472</v>
      </c>
      <c r="H283" s="58" t="s">
        <v>384</v>
      </c>
      <c r="I283" s="59" t="s">
        <v>635</v>
      </c>
      <c r="J283" s="58" t="s">
        <v>333</v>
      </c>
      <c r="K283" s="58" t="s">
        <v>0</v>
      </c>
    </row>
    <row r="284" spans="1:11" x14ac:dyDescent="0.25">
      <c r="A284" s="55" t="str">
        <f t="shared" si="4"/>
        <v>000310130048</v>
      </c>
      <c r="B284" s="58" t="s">
        <v>75</v>
      </c>
      <c r="C284" s="59" t="s">
        <v>743</v>
      </c>
      <c r="D284" s="58" t="s">
        <v>375</v>
      </c>
      <c r="E284" s="59" t="s">
        <v>634</v>
      </c>
      <c r="F284" s="58" t="s">
        <v>393</v>
      </c>
      <c r="G284" s="59" t="s">
        <v>472</v>
      </c>
      <c r="H284" s="58" t="s">
        <v>394</v>
      </c>
      <c r="I284" s="59" t="s">
        <v>651</v>
      </c>
      <c r="J284" s="58" t="s">
        <v>428</v>
      </c>
      <c r="K284" s="58" t="s">
        <v>429</v>
      </c>
    </row>
    <row r="285" spans="1:11" x14ac:dyDescent="0.25">
      <c r="A285" s="55" t="str">
        <f t="shared" si="4"/>
        <v>000310130047</v>
      </c>
      <c r="B285" s="58" t="s">
        <v>204</v>
      </c>
      <c r="C285" s="59" t="s">
        <v>744</v>
      </c>
      <c r="D285" s="58" t="s">
        <v>375</v>
      </c>
      <c r="E285" s="59" t="s">
        <v>634</v>
      </c>
      <c r="F285" s="58" t="s">
        <v>393</v>
      </c>
      <c r="G285" s="59" t="s">
        <v>472</v>
      </c>
      <c r="H285" s="58" t="s">
        <v>383</v>
      </c>
      <c r="I285" s="59" t="s">
        <v>662</v>
      </c>
      <c r="J285" s="58" t="s">
        <v>428</v>
      </c>
      <c r="K285" s="58" t="s">
        <v>429</v>
      </c>
    </row>
    <row r="286" spans="1:11" x14ac:dyDescent="0.25">
      <c r="A286" s="55" t="str">
        <f t="shared" si="4"/>
        <v>000310050047</v>
      </c>
      <c r="B286" s="58" t="s">
        <v>183</v>
      </c>
      <c r="C286" s="59" t="s">
        <v>745</v>
      </c>
      <c r="D286" s="58" t="s">
        <v>375</v>
      </c>
      <c r="E286" s="59" t="s">
        <v>634</v>
      </c>
      <c r="F286" s="58" t="s">
        <v>385</v>
      </c>
      <c r="G286" s="59" t="s">
        <v>469</v>
      </c>
      <c r="H286" s="58" t="s">
        <v>383</v>
      </c>
      <c r="I286" s="59" t="s">
        <v>662</v>
      </c>
      <c r="J286" s="58" t="s">
        <v>428</v>
      </c>
      <c r="K286" s="58" t="s">
        <v>429</v>
      </c>
    </row>
    <row r="287" spans="1:11" x14ac:dyDescent="0.25">
      <c r="A287" s="55" t="str">
        <f t="shared" si="4"/>
        <v>000310030012</v>
      </c>
      <c r="B287" s="58" t="s">
        <v>199</v>
      </c>
      <c r="C287" s="59" t="s">
        <v>746</v>
      </c>
      <c r="D287" s="58" t="s">
        <v>375</v>
      </c>
      <c r="E287" s="59" t="s">
        <v>634</v>
      </c>
      <c r="F287" s="58" t="s">
        <v>381</v>
      </c>
      <c r="G287" s="59" t="s">
        <v>468</v>
      </c>
      <c r="H287" s="58" t="s">
        <v>376</v>
      </c>
      <c r="I287" s="59" t="s">
        <v>545</v>
      </c>
      <c r="J287" s="58" t="s">
        <v>333</v>
      </c>
      <c r="K287" s="58" t="s">
        <v>429</v>
      </c>
    </row>
    <row r="288" spans="1:11" x14ac:dyDescent="0.25">
      <c r="A288" s="55" t="str">
        <f t="shared" si="4"/>
        <v>000310030057</v>
      </c>
      <c r="B288" s="58" t="s">
        <v>199</v>
      </c>
      <c r="C288" s="59" t="s">
        <v>746</v>
      </c>
      <c r="D288" s="58" t="s">
        <v>375</v>
      </c>
      <c r="E288" s="59" t="s">
        <v>634</v>
      </c>
      <c r="F288" s="58" t="s">
        <v>381</v>
      </c>
      <c r="G288" s="59" t="s">
        <v>468</v>
      </c>
      <c r="H288" s="58" t="s">
        <v>384</v>
      </c>
      <c r="I288" s="59" t="s">
        <v>635</v>
      </c>
      <c r="J288" s="58" t="s">
        <v>333</v>
      </c>
      <c r="K288" s="58" t="s">
        <v>0</v>
      </c>
    </row>
    <row r="289" spans="1:11" x14ac:dyDescent="0.25">
      <c r="A289" s="55" t="str">
        <f t="shared" si="4"/>
        <v>001010050016</v>
      </c>
      <c r="B289" s="58" t="s">
        <v>281</v>
      </c>
      <c r="C289" s="59" t="s">
        <v>747</v>
      </c>
      <c r="D289" s="58" t="s">
        <v>737</v>
      </c>
      <c r="E289" s="59" t="s">
        <v>738</v>
      </c>
      <c r="F289" s="58" t="s">
        <v>385</v>
      </c>
      <c r="G289" s="59" t="s">
        <v>469</v>
      </c>
      <c r="H289" s="58" t="s">
        <v>404</v>
      </c>
      <c r="I289" s="59" t="s">
        <v>738</v>
      </c>
      <c r="J289" s="58" t="s">
        <v>428</v>
      </c>
      <c r="K289" s="58" t="s">
        <v>429</v>
      </c>
    </row>
    <row r="290" spans="1:11" x14ac:dyDescent="0.25">
      <c r="A290" s="55" t="str">
        <f t="shared" si="4"/>
        <v>001110080037</v>
      </c>
      <c r="B290" s="58" t="s">
        <v>119</v>
      </c>
      <c r="C290" s="59" t="s">
        <v>748</v>
      </c>
      <c r="D290" s="58" t="s">
        <v>387</v>
      </c>
      <c r="E290" s="59" t="s">
        <v>440</v>
      </c>
      <c r="F290" s="58" t="s">
        <v>398</v>
      </c>
      <c r="G290" s="59" t="s">
        <v>605</v>
      </c>
      <c r="H290" s="58" t="s">
        <v>399</v>
      </c>
      <c r="I290" s="59" t="s">
        <v>749</v>
      </c>
      <c r="J290" s="58" t="s">
        <v>428</v>
      </c>
      <c r="K290" s="58" t="s">
        <v>429</v>
      </c>
    </row>
    <row r="291" spans="1:11" x14ac:dyDescent="0.25">
      <c r="A291" s="55" t="str">
        <f t="shared" si="4"/>
        <v>001110080033</v>
      </c>
      <c r="B291" s="58" t="s">
        <v>152</v>
      </c>
      <c r="C291" s="59" t="s">
        <v>750</v>
      </c>
      <c r="D291" s="58" t="s">
        <v>387</v>
      </c>
      <c r="E291" s="59" t="s">
        <v>440</v>
      </c>
      <c r="F291" s="58" t="s">
        <v>398</v>
      </c>
      <c r="G291" s="59" t="s">
        <v>605</v>
      </c>
      <c r="H291" s="58" t="s">
        <v>751</v>
      </c>
      <c r="I291" s="59" t="s">
        <v>752</v>
      </c>
      <c r="J291" s="58" t="s">
        <v>428</v>
      </c>
      <c r="K291" s="58" t="s">
        <v>429</v>
      </c>
    </row>
    <row r="292" spans="1:11" x14ac:dyDescent="0.25">
      <c r="A292" s="55" t="str">
        <f t="shared" si="4"/>
        <v>001110080054</v>
      </c>
      <c r="B292" s="58" t="s">
        <v>123</v>
      </c>
      <c r="C292" s="59" t="s">
        <v>753</v>
      </c>
      <c r="D292" s="58" t="s">
        <v>387</v>
      </c>
      <c r="E292" s="59" t="s">
        <v>440</v>
      </c>
      <c r="F292" s="58" t="s">
        <v>398</v>
      </c>
      <c r="G292" s="59" t="s">
        <v>605</v>
      </c>
      <c r="H292" s="58" t="s">
        <v>754</v>
      </c>
      <c r="I292" s="59" t="s">
        <v>755</v>
      </c>
      <c r="J292" s="58" t="s">
        <v>428</v>
      </c>
      <c r="K292" s="58" t="s">
        <v>429</v>
      </c>
    </row>
    <row r="293" spans="1:11" x14ac:dyDescent="0.25">
      <c r="A293" s="55" t="str">
        <f t="shared" si="4"/>
        <v>001110080055</v>
      </c>
      <c r="B293" s="58" t="s">
        <v>156</v>
      </c>
      <c r="C293" s="59" t="s">
        <v>756</v>
      </c>
      <c r="D293" s="58" t="s">
        <v>387</v>
      </c>
      <c r="E293" s="59" t="s">
        <v>440</v>
      </c>
      <c r="F293" s="58" t="s">
        <v>398</v>
      </c>
      <c r="G293" s="59" t="s">
        <v>605</v>
      </c>
      <c r="H293" s="58" t="s">
        <v>757</v>
      </c>
      <c r="I293" s="59" t="s">
        <v>758</v>
      </c>
      <c r="J293" s="58" t="s">
        <v>428</v>
      </c>
      <c r="K293" s="58" t="s">
        <v>429</v>
      </c>
    </row>
    <row r="294" spans="1:11" x14ac:dyDescent="0.25">
      <c r="A294" s="55" t="str">
        <f t="shared" si="4"/>
        <v>001910080031</v>
      </c>
      <c r="B294" s="58" t="s">
        <v>120</v>
      </c>
      <c r="C294" s="59" t="s">
        <v>759</v>
      </c>
      <c r="D294" s="58" t="s">
        <v>406</v>
      </c>
      <c r="E294" s="59" t="s">
        <v>760</v>
      </c>
      <c r="F294" s="58" t="s">
        <v>398</v>
      </c>
      <c r="G294" s="59" t="s">
        <v>605</v>
      </c>
      <c r="H294" s="58" t="s">
        <v>407</v>
      </c>
      <c r="I294" s="59" t="s">
        <v>761</v>
      </c>
      <c r="J294" s="58" t="s">
        <v>428</v>
      </c>
      <c r="K294" s="58" t="s">
        <v>429</v>
      </c>
    </row>
    <row r="295" spans="1:11" x14ac:dyDescent="0.25">
      <c r="A295" s="55" t="str">
        <f t="shared" si="4"/>
        <v>001910080032</v>
      </c>
      <c r="B295" s="58" t="s">
        <v>153</v>
      </c>
      <c r="C295" s="59" t="s">
        <v>762</v>
      </c>
      <c r="D295" s="58" t="s">
        <v>406</v>
      </c>
      <c r="E295" s="59" t="s">
        <v>760</v>
      </c>
      <c r="F295" s="58" t="s">
        <v>398</v>
      </c>
      <c r="G295" s="59" t="s">
        <v>605</v>
      </c>
      <c r="H295" s="58" t="s">
        <v>763</v>
      </c>
      <c r="I295" s="59" t="s">
        <v>764</v>
      </c>
      <c r="J295" s="58" t="s">
        <v>428</v>
      </c>
      <c r="K295" s="58" t="s">
        <v>429</v>
      </c>
    </row>
    <row r="296" spans="1:11" x14ac:dyDescent="0.25">
      <c r="A296" s="55" t="str">
        <f t="shared" si="4"/>
        <v>001710090012</v>
      </c>
      <c r="B296" s="58" t="s">
        <v>111</v>
      </c>
      <c r="C296" s="59" t="s">
        <v>765</v>
      </c>
      <c r="D296" s="58" t="s">
        <v>390</v>
      </c>
      <c r="E296" s="59" t="s">
        <v>766</v>
      </c>
      <c r="F296" s="58" t="s">
        <v>335</v>
      </c>
      <c r="G296" s="59" t="s">
        <v>530</v>
      </c>
      <c r="H296" s="58" t="s">
        <v>376</v>
      </c>
      <c r="I296" s="59" t="s">
        <v>545</v>
      </c>
      <c r="J296" s="58" t="s">
        <v>428</v>
      </c>
      <c r="K296" s="58" t="s">
        <v>429</v>
      </c>
    </row>
    <row r="297" spans="1:11" x14ac:dyDescent="0.25">
      <c r="A297" s="55" t="str">
        <f t="shared" si="4"/>
        <v>001710090064</v>
      </c>
      <c r="B297" s="58" t="s">
        <v>114</v>
      </c>
      <c r="C297" s="59" t="s">
        <v>767</v>
      </c>
      <c r="D297" s="58" t="s">
        <v>390</v>
      </c>
      <c r="E297" s="59" t="s">
        <v>766</v>
      </c>
      <c r="F297" s="58" t="s">
        <v>335</v>
      </c>
      <c r="G297" s="59" t="s">
        <v>530</v>
      </c>
      <c r="H297" s="58" t="s">
        <v>405</v>
      </c>
      <c r="I297" s="59" t="s">
        <v>768</v>
      </c>
      <c r="J297" s="58" t="s">
        <v>428</v>
      </c>
      <c r="K297" s="58" t="s">
        <v>429</v>
      </c>
    </row>
    <row r="298" spans="1:11" x14ac:dyDescent="0.25">
      <c r="A298" s="55" t="str">
        <f t="shared" si="4"/>
        <v>001610080012</v>
      </c>
      <c r="B298" s="58" t="s">
        <v>146</v>
      </c>
      <c r="C298" s="59" t="s">
        <v>769</v>
      </c>
      <c r="D298" s="58" t="s">
        <v>404</v>
      </c>
      <c r="E298" s="59" t="s">
        <v>770</v>
      </c>
      <c r="F298" s="58" t="s">
        <v>398</v>
      </c>
      <c r="G298" s="59" t="s">
        <v>605</v>
      </c>
      <c r="H298" s="58" t="s">
        <v>376</v>
      </c>
      <c r="I298" s="59" t="s">
        <v>545</v>
      </c>
      <c r="J298" s="58" t="s">
        <v>428</v>
      </c>
      <c r="K298" s="58" t="s">
        <v>429</v>
      </c>
    </row>
    <row r="299" spans="1:11" x14ac:dyDescent="0.25">
      <c r="A299" s="55" t="str">
        <f t="shared" si="4"/>
        <v>001610020012</v>
      </c>
      <c r="B299" s="58" t="s">
        <v>102</v>
      </c>
      <c r="C299" s="59" t="s">
        <v>771</v>
      </c>
      <c r="D299" s="58" t="s">
        <v>404</v>
      </c>
      <c r="E299" s="59" t="s">
        <v>770</v>
      </c>
      <c r="F299" s="58" t="s">
        <v>380</v>
      </c>
      <c r="G299" s="59" t="s">
        <v>467</v>
      </c>
      <c r="H299" s="58" t="s">
        <v>376</v>
      </c>
      <c r="I299" s="59" t="s">
        <v>545</v>
      </c>
      <c r="J299" s="58" t="s">
        <v>333</v>
      </c>
      <c r="K299" s="58" t="s">
        <v>429</v>
      </c>
    </row>
    <row r="300" spans="1:11" x14ac:dyDescent="0.25">
      <c r="A300" s="55" t="str">
        <f t="shared" si="4"/>
        <v>001610030012</v>
      </c>
      <c r="B300" s="58" t="s">
        <v>102</v>
      </c>
      <c r="C300" s="59" t="s">
        <v>771</v>
      </c>
      <c r="D300" s="58" t="s">
        <v>404</v>
      </c>
      <c r="E300" s="59" t="s">
        <v>770</v>
      </c>
      <c r="F300" s="58" t="s">
        <v>381</v>
      </c>
      <c r="G300" s="59" t="s">
        <v>468</v>
      </c>
      <c r="H300" s="58" t="s">
        <v>376</v>
      </c>
      <c r="I300" s="59" t="s">
        <v>545</v>
      </c>
      <c r="J300" s="58" t="s">
        <v>333</v>
      </c>
      <c r="K300" s="58" t="s">
        <v>0</v>
      </c>
    </row>
    <row r="301" spans="1:11" x14ac:dyDescent="0.25">
      <c r="A301" s="55" t="str">
        <f t="shared" si="4"/>
        <v>001610120012</v>
      </c>
      <c r="B301" s="58" t="s">
        <v>104</v>
      </c>
      <c r="C301" s="59" t="s">
        <v>772</v>
      </c>
      <c r="D301" s="58" t="s">
        <v>404</v>
      </c>
      <c r="E301" s="59" t="s">
        <v>770</v>
      </c>
      <c r="F301" s="58" t="s">
        <v>392</v>
      </c>
      <c r="G301" s="59" t="s">
        <v>471</v>
      </c>
      <c r="H301" s="58" t="s">
        <v>376</v>
      </c>
      <c r="I301" s="59" t="s">
        <v>545</v>
      </c>
      <c r="J301" s="58" t="s">
        <v>333</v>
      </c>
      <c r="K301" s="58" t="s">
        <v>429</v>
      </c>
    </row>
    <row r="302" spans="1:11" x14ac:dyDescent="0.25">
      <c r="A302" s="55" t="str">
        <f t="shared" si="4"/>
        <v>001610130012</v>
      </c>
      <c r="B302" s="58" t="s">
        <v>104</v>
      </c>
      <c r="C302" s="59" t="s">
        <v>772</v>
      </c>
      <c r="D302" s="58" t="s">
        <v>404</v>
      </c>
      <c r="E302" s="59" t="s">
        <v>770</v>
      </c>
      <c r="F302" s="58" t="s">
        <v>393</v>
      </c>
      <c r="G302" s="59" t="s">
        <v>472</v>
      </c>
      <c r="H302" s="58" t="s">
        <v>376</v>
      </c>
      <c r="I302" s="59" t="s">
        <v>545</v>
      </c>
      <c r="J302" s="58" t="s">
        <v>333</v>
      </c>
      <c r="K302" s="58" t="s">
        <v>0</v>
      </c>
    </row>
    <row r="303" spans="1:11" x14ac:dyDescent="0.25">
      <c r="A303" s="55" t="str">
        <f t="shared" si="4"/>
        <v>001610040012</v>
      </c>
      <c r="B303" s="58" t="s">
        <v>105</v>
      </c>
      <c r="C303" s="59" t="s">
        <v>773</v>
      </c>
      <c r="D303" s="58" t="s">
        <v>404</v>
      </c>
      <c r="E303" s="59" t="s">
        <v>770</v>
      </c>
      <c r="F303" s="58" t="s">
        <v>382</v>
      </c>
      <c r="G303" s="59" t="s">
        <v>444</v>
      </c>
      <c r="H303" s="58" t="s">
        <v>376</v>
      </c>
      <c r="I303" s="59" t="s">
        <v>545</v>
      </c>
      <c r="J303" s="58" t="s">
        <v>333</v>
      </c>
      <c r="K303" s="58" t="s">
        <v>429</v>
      </c>
    </row>
    <row r="304" spans="1:11" x14ac:dyDescent="0.25">
      <c r="A304" s="55" t="str">
        <f t="shared" si="4"/>
        <v>001610050012</v>
      </c>
      <c r="B304" s="58" t="s">
        <v>105</v>
      </c>
      <c r="C304" s="59" t="s">
        <v>773</v>
      </c>
      <c r="D304" s="58" t="s">
        <v>404</v>
      </c>
      <c r="E304" s="59" t="s">
        <v>770</v>
      </c>
      <c r="F304" s="58" t="s">
        <v>385</v>
      </c>
      <c r="G304" s="59" t="s">
        <v>469</v>
      </c>
      <c r="H304" s="58" t="s">
        <v>376</v>
      </c>
      <c r="I304" s="59" t="s">
        <v>545</v>
      </c>
      <c r="J304" s="58" t="s">
        <v>333</v>
      </c>
      <c r="K304" s="58" t="s">
        <v>0</v>
      </c>
    </row>
    <row r="305" spans="1:11" x14ac:dyDescent="0.25">
      <c r="A305" s="55" t="str">
        <f t="shared" si="4"/>
        <v>001610060012</v>
      </c>
      <c r="B305" s="58" t="s">
        <v>106</v>
      </c>
      <c r="C305" s="59" t="s">
        <v>774</v>
      </c>
      <c r="D305" s="58" t="s">
        <v>404</v>
      </c>
      <c r="E305" s="59" t="s">
        <v>770</v>
      </c>
      <c r="F305" s="58" t="s">
        <v>386</v>
      </c>
      <c r="G305" s="59" t="s">
        <v>470</v>
      </c>
      <c r="H305" s="58" t="s">
        <v>376</v>
      </c>
      <c r="I305" s="59" t="s">
        <v>545</v>
      </c>
      <c r="J305" s="58" t="s">
        <v>333</v>
      </c>
      <c r="K305" s="58" t="s">
        <v>429</v>
      </c>
    </row>
    <row r="306" spans="1:11" x14ac:dyDescent="0.25">
      <c r="A306" s="55" t="str">
        <f t="shared" si="4"/>
        <v>001610070012</v>
      </c>
      <c r="B306" s="58" t="s">
        <v>106</v>
      </c>
      <c r="C306" s="59" t="s">
        <v>774</v>
      </c>
      <c r="D306" s="58" t="s">
        <v>404</v>
      </c>
      <c r="E306" s="59" t="s">
        <v>770</v>
      </c>
      <c r="F306" s="58" t="s">
        <v>775</v>
      </c>
      <c r="G306" s="59" t="s">
        <v>776</v>
      </c>
      <c r="H306" s="58" t="s">
        <v>376</v>
      </c>
      <c r="I306" s="59" t="s">
        <v>545</v>
      </c>
      <c r="J306" s="58" t="s">
        <v>333</v>
      </c>
      <c r="K306" s="58" t="s">
        <v>0</v>
      </c>
    </row>
    <row r="307" spans="1:11" x14ac:dyDescent="0.25">
      <c r="A307" s="55" t="str">
        <f t="shared" si="4"/>
        <v>001610080037</v>
      </c>
      <c r="B307" s="58" t="s">
        <v>148</v>
      </c>
      <c r="C307" s="59" t="s">
        <v>777</v>
      </c>
      <c r="D307" s="58" t="s">
        <v>404</v>
      </c>
      <c r="E307" s="59" t="s">
        <v>770</v>
      </c>
      <c r="F307" s="58" t="s">
        <v>398</v>
      </c>
      <c r="G307" s="59" t="s">
        <v>605</v>
      </c>
      <c r="H307" s="58" t="s">
        <v>399</v>
      </c>
      <c r="I307" s="59" t="s">
        <v>749</v>
      </c>
      <c r="J307" s="58" t="s">
        <v>428</v>
      </c>
      <c r="K307" s="58" t="s">
        <v>429</v>
      </c>
    </row>
    <row r="308" spans="1:11" x14ac:dyDescent="0.25">
      <c r="A308" s="55" t="str">
        <f t="shared" si="4"/>
        <v>001610020064</v>
      </c>
      <c r="B308" s="58" t="s">
        <v>108</v>
      </c>
      <c r="C308" s="59" t="s">
        <v>778</v>
      </c>
      <c r="D308" s="58" t="s">
        <v>404</v>
      </c>
      <c r="E308" s="59" t="s">
        <v>770</v>
      </c>
      <c r="F308" s="58" t="s">
        <v>380</v>
      </c>
      <c r="G308" s="59" t="s">
        <v>467</v>
      </c>
      <c r="H308" s="58" t="s">
        <v>405</v>
      </c>
      <c r="I308" s="59" t="s">
        <v>768</v>
      </c>
      <c r="J308" s="58" t="s">
        <v>333</v>
      </c>
      <c r="K308" s="58" t="s">
        <v>0</v>
      </c>
    </row>
    <row r="309" spans="1:11" x14ac:dyDescent="0.25">
      <c r="A309" s="55" t="str">
        <f t="shared" si="4"/>
        <v>001610120064</v>
      </c>
      <c r="B309" s="58" t="s">
        <v>108</v>
      </c>
      <c r="C309" s="59" t="s">
        <v>778</v>
      </c>
      <c r="D309" s="58" t="s">
        <v>404</v>
      </c>
      <c r="E309" s="59" t="s">
        <v>770</v>
      </c>
      <c r="F309" s="58" t="s">
        <v>392</v>
      </c>
      <c r="G309" s="59" t="s">
        <v>471</v>
      </c>
      <c r="H309" s="58" t="s">
        <v>405</v>
      </c>
      <c r="I309" s="59" t="s">
        <v>768</v>
      </c>
      <c r="J309" s="58" t="s">
        <v>333</v>
      </c>
      <c r="K309" s="58" t="s">
        <v>429</v>
      </c>
    </row>
    <row r="310" spans="1:11" x14ac:dyDescent="0.25">
      <c r="A310" s="55" t="str">
        <f t="shared" si="4"/>
        <v>001110100017</v>
      </c>
      <c r="B310" s="58" t="s">
        <v>138</v>
      </c>
      <c r="C310" s="59" t="s">
        <v>779</v>
      </c>
      <c r="D310" s="58" t="s">
        <v>387</v>
      </c>
      <c r="E310" s="59" t="s">
        <v>440</v>
      </c>
      <c r="F310" s="58" t="s">
        <v>389</v>
      </c>
      <c r="G310" s="59" t="s">
        <v>441</v>
      </c>
      <c r="H310" s="58" t="s">
        <v>390</v>
      </c>
      <c r="I310" s="59" t="s">
        <v>556</v>
      </c>
      <c r="J310" s="58" t="s">
        <v>428</v>
      </c>
      <c r="K310" s="58" t="s">
        <v>429</v>
      </c>
    </row>
    <row r="311" spans="1:11" x14ac:dyDescent="0.25">
      <c r="A311" s="55" t="str">
        <f t="shared" si="4"/>
        <v>001210100017</v>
      </c>
      <c r="B311" s="58" t="s">
        <v>139</v>
      </c>
      <c r="C311" s="59" t="s">
        <v>780</v>
      </c>
      <c r="D311" s="58" t="s">
        <v>376</v>
      </c>
      <c r="E311" s="59" t="s">
        <v>619</v>
      </c>
      <c r="F311" s="58" t="s">
        <v>389</v>
      </c>
      <c r="G311" s="59" t="s">
        <v>441</v>
      </c>
      <c r="H311" s="58" t="s">
        <v>390</v>
      </c>
      <c r="I311" s="59" t="s">
        <v>556</v>
      </c>
      <c r="J311" s="58" t="s">
        <v>428</v>
      </c>
      <c r="K311" s="58" t="s">
        <v>429</v>
      </c>
    </row>
    <row r="312" spans="1:11" x14ac:dyDescent="0.25">
      <c r="A312" s="55" t="str">
        <f t="shared" si="4"/>
        <v>001110100023</v>
      </c>
      <c r="B312" s="58" t="s">
        <v>140</v>
      </c>
      <c r="C312" s="59" t="s">
        <v>781</v>
      </c>
      <c r="D312" s="58" t="s">
        <v>387</v>
      </c>
      <c r="E312" s="59" t="s">
        <v>440</v>
      </c>
      <c r="F312" s="58" t="s">
        <v>389</v>
      </c>
      <c r="G312" s="59" t="s">
        <v>441</v>
      </c>
      <c r="H312" s="58" t="s">
        <v>388</v>
      </c>
      <c r="I312" s="59" t="s">
        <v>782</v>
      </c>
      <c r="J312" s="58" t="s">
        <v>428</v>
      </c>
      <c r="K312" s="58" t="s">
        <v>429</v>
      </c>
    </row>
    <row r="313" spans="1:11" x14ac:dyDescent="0.25">
      <c r="A313" s="55" t="str">
        <f t="shared" si="4"/>
        <v>001110100024</v>
      </c>
      <c r="B313" s="58" t="s">
        <v>141</v>
      </c>
      <c r="C313" s="59" t="s">
        <v>783</v>
      </c>
      <c r="D313" s="58" t="s">
        <v>387</v>
      </c>
      <c r="E313" s="59" t="s">
        <v>440</v>
      </c>
      <c r="F313" s="58" t="s">
        <v>389</v>
      </c>
      <c r="G313" s="59" t="s">
        <v>441</v>
      </c>
      <c r="H313" s="58" t="s">
        <v>391</v>
      </c>
      <c r="I313" s="59" t="s">
        <v>784</v>
      </c>
      <c r="J313" s="58" t="s">
        <v>428</v>
      </c>
      <c r="K313" s="58" t="s">
        <v>429</v>
      </c>
    </row>
    <row r="314" spans="1:11" x14ac:dyDescent="0.25">
      <c r="A314" s="55" t="str">
        <f t="shared" si="4"/>
        <v>000310100017</v>
      </c>
      <c r="B314" s="58" t="s">
        <v>208</v>
      </c>
      <c r="C314" s="59" t="s">
        <v>785</v>
      </c>
      <c r="D314" s="58" t="s">
        <v>375</v>
      </c>
      <c r="E314" s="59" t="s">
        <v>634</v>
      </c>
      <c r="F314" s="58" t="s">
        <v>389</v>
      </c>
      <c r="G314" s="59" t="s">
        <v>441</v>
      </c>
      <c r="H314" s="58" t="s">
        <v>390</v>
      </c>
      <c r="I314" s="59" t="s">
        <v>556</v>
      </c>
      <c r="J314" s="58" t="s">
        <v>428</v>
      </c>
      <c r="K314" s="58" t="s">
        <v>429</v>
      </c>
    </row>
    <row r="315" spans="1:11" x14ac:dyDescent="0.25">
      <c r="A315" s="55" t="str">
        <f t="shared" si="4"/>
        <v>000310100023</v>
      </c>
      <c r="B315" s="58" t="s">
        <v>211</v>
      </c>
      <c r="C315" s="59" t="s">
        <v>786</v>
      </c>
      <c r="D315" s="58" t="s">
        <v>375</v>
      </c>
      <c r="E315" s="59" t="s">
        <v>634</v>
      </c>
      <c r="F315" s="58" t="s">
        <v>389</v>
      </c>
      <c r="G315" s="59" t="s">
        <v>441</v>
      </c>
      <c r="H315" s="58" t="s">
        <v>388</v>
      </c>
      <c r="I315" s="59" t="s">
        <v>782</v>
      </c>
      <c r="J315" s="58" t="s">
        <v>428</v>
      </c>
      <c r="K315" s="58" t="s">
        <v>429</v>
      </c>
    </row>
    <row r="316" spans="1:11" x14ac:dyDescent="0.25">
      <c r="A316" s="55" t="str">
        <f t="shared" si="4"/>
        <v>000310100024</v>
      </c>
      <c r="B316" s="58" t="s">
        <v>212</v>
      </c>
      <c r="C316" s="59" t="s">
        <v>787</v>
      </c>
      <c r="D316" s="58" t="s">
        <v>375</v>
      </c>
      <c r="E316" s="59" t="s">
        <v>634</v>
      </c>
      <c r="F316" s="58" t="s">
        <v>389</v>
      </c>
      <c r="G316" s="59" t="s">
        <v>441</v>
      </c>
      <c r="H316" s="58" t="s">
        <v>391</v>
      </c>
      <c r="I316" s="59" t="s">
        <v>784</v>
      </c>
      <c r="J316" s="58" t="s">
        <v>428</v>
      </c>
      <c r="K316" s="58" t="s">
        <v>429</v>
      </c>
    </row>
    <row r="317" spans="1:11" x14ac:dyDescent="0.25">
      <c r="A317" s="55" t="str">
        <f t="shared" si="4"/>
        <v>010090000062</v>
      </c>
      <c r="B317" s="58" t="s">
        <v>287</v>
      </c>
      <c r="C317" s="59" t="s">
        <v>788</v>
      </c>
      <c r="D317" s="58" t="s">
        <v>499</v>
      </c>
      <c r="E317" s="59" t="s">
        <v>789</v>
      </c>
      <c r="F317" s="58" t="s">
        <v>424</v>
      </c>
      <c r="G317" s="59" t="s">
        <v>425</v>
      </c>
      <c r="H317" s="58" t="s">
        <v>790</v>
      </c>
      <c r="I317" s="59" t="s">
        <v>791</v>
      </c>
      <c r="J317" s="58" t="s">
        <v>428</v>
      </c>
      <c r="K317" s="58" t="s">
        <v>429</v>
      </c>
    </row>
    <row r="318" spans="1:11" x14ac:dyDescent="0.25">
      <c r="A318" s="55" t="str">
        <f t="shared" si="4"/>
        <v>001110010012</v>
      </c>
      <c r="B318" s="58" t="s">
        <v>81</v>
      </c>
      <c r="C318" s="59" t="s">
        <v>792</v>
      </c>
      <c r="D318" s="58" t="s">
        <v>387</v>
      </c>
      <c r="E318" s="59" t="s">
        <v>440</v>
      </c>
      <c r="F318" s="58" t="s">
        <v>338</v>
      </c>
      <c r="G318" s="59" t="s">
        <v>489</v>
      </c>
      <c r="H318" s="58" t="s">
        <v>376</v>
      </c>
      <c r="I318" s="59" t="s">
        <v>545</v>
      </c>
      <c r="J318" s="58" t="s">
        <v>428</v>
      </c>
      <c r="K318" s="58" t="s">
        <v>429</v>
      </c>
    </row>
    <row r="319" spans="1:11" x14ac:dyDescent="0.25">
      <c r="A319" s="55" t="str">
        <f t="shared" si="4"/>
        <v>001110010007</v>
      </c>
      <c r="B319" s="58" t="s">
        <v>83</v>
      </c>
      <c r="C319" s="59" t="s">
        <v>792</v>
      </c>
      <c r="D319" s="58" t="s">
        <v>387</v>
      </c>
      <c r="E319" s="59" t="s">
        <v>440</v>
      </c>
      <c r="F319" s="58" t="s">
        <v>338</v>
      </c>
      <c r="G319" s="59" t="s">
        <v>489</v>
      </c>
      <c r="H319" s="58" t="s">
        <v>447</v>
      </c>
      <c r="I319" s="59" t="s">
        <v>561</v>
      </c>
      <c r="J319" s="58" t="s">
        <v>428</v>
      </c>
      <c r="K319" s="58" t="s">
        <v>429</v>
      </c>
    </row>
    <row r="320" spans="1:11" x14ac:dyDescent="0.25">
      <c r="A320" s="55" t="str">
        <f t="shared" si="4"/>
        <v>001110010021</v>
      </c>
      <c r="B320" s="58" t="s">
        <v>84</v>
      </c>
      <c r="C320" s="59" t="s">
        <v>793</v>
      </c>
      <c r="D320" s="58" t="s">
        <v>387</v>
      </c>
      <c r="E320" s="59" t="s">
        <v>440</v>
      </c>
      <c r="F320" s="58" t="s">
        <v>338</v>
      </c>
      <c r="G320" s="59" t="s">
        <v>489</v>
      </c>
      <c r="H320" s="58" t="s">
        <v>377</v>
      </c>
      <c r="I320" s="59" t="s">
        <v>551</v>
      </c>
      <c r="J320" s="58" t="s">
        <v>428</v>
      </c>
      <c r="K320" s="58" t="s">
        <v>429</v>
      </c>
    </row>
    <row r="321" spans="1:11" x14ac:dyDescent="0.25">
      <c r="A321" s="55" t="str">
        <f t="shared" si="4"/>
        <v>001110010022</v>
      </c>
      <c r="B321" s="58" t="s">
        <v>85</v>
      </c>
      <c r="C321" s="59" t="s">
        <v>794</v>
      </c>
      <c r="D321" s="58" t="s">
        <v>387</v>
      </c>
      <c r="E321" s="59" t="s">
        <v>440</v>
      </c>
      <c r="F321" s="58" t="s">
        <v>338</v>
      </c>
      <c r="G321" s="59" t="s">
        <v>489</v>
      </c>
      <c r="H321" s="58" t="s">
        <v>378</v>
      </c>
      <c r="I321" s="59" t="s">
        <v>553</v>
      </c>
      <c r="J321" s="58" t="s">
        <v>428</v>
      </c>
      <c r="K321" s="58" t="s">
        <v>429</v>
      </c>
    </row>
    <row r="322" spans="1:11" x14ac:dyDescent="0.25">
      <c r="A322" s="55" t="str">
        <f t="shared" si="4"/>
        <v>000310010012</v>
      </c>
      <c r="B322" s="58" t="s">
        <v>166</v>
      </c>
      <c r="C322" s="59" t="s">
        <v>795</v>
      </c>
      <c r="D322" s="58" t="s">
        <v>375</v>
      </c>
      <c r="E322" s="59" t="s">
        <v>634</v>
      </c>
      <c r="F322" s="58" t="s">
        <v>338</v>
      </c>
      <c r="G322" s="59" t="s">
        <v>489</v>
      </c>
      <c r="H322" s="58" t="s">
        <v>376</v>
      </c>
      <c r="I322" s="59" t="s">
        <v>545</v>
      </c>
      <c r="J322" s="58" t="s">
        <v>428</v>
      </c>
      <c r="K322" s="58" t="s">
        <v>429</v>
      </c>
    </row>
    <row r="323" spans="1:11" x14ac:dyDescent="0.25">
      <c r="A323" s="55" t="str">
        <f t="shared" si="4"/>
        <v>000310010007</v>
      </c>
      <c r="B323" s="58" t="s">
        <v>167</v>
      </c>
      <c r="C323" s="59" t="s">
        <v>796</v>
      </c>
      <c r="D323" s="58" t="s">
        <v>375</v>
      </c>
      <c r="E323" s="59" t="s">
        <v>634</v>
      </c>
      <c r="F323" s="58" t="s">
        <v>338</v>
      </c>
      <c r="G323" s="59" t="s">
        <v>489</v>
      </c>
      <c r="H323" s="58" t="s">
        <v>447</v>
      </c>
      <c r="I323" s="59" t="s">
        <v>561</v>
      </c>
      <c r="J323" s="58" t="s">
        <v>428</v>
      </c>
      <c r="K323" s="58" t="s">
        <v>429</v>
      </c>
    </row>
    <row r="324" spans="1:11" x14ac:dyDescent="0.25">
      <c r="A324" s="55" t="str">
        <f t="shared" ref="A324:A337" si="5">D324&amp;F324&amp;H324</f>
        <v>000310010021</v>
      </c>
      <c r="B324" s="58" t="s">
        <v>168</v>
      </c>
      <c r="C324" s="59" t="s">
        <v>797</v>
      </c>
      <c r="D324" s="58" t="s">
        <v>375</v>
      </c>
      <c r="E324" s="59" t="s">
        <v>634</v>
      </c>
      <c r="F324" s="58" t="s">
        <v>338</v>
      </c>
      <c r="G324" s="59" t="s">
        <v>489</v>
      </c>
      <c r="H324" s="58" t="s">
        <v>377</v>
      </c>
      <c r="I324" s="59" t="s">
        <v>551</v>
      </c>
      <c r="J324" s="58" t="s">
        <v>428</v>
      </c>
      <c r="K324" s="58" t="s">
        <v>429</v>
      </c>
    </row>
    <row r="325" spans="1:11" x14ac:dyDescent="0.25">
      <c r="A325" s="55" t="str">
        <f t="shared" si="5"/>
        <v>000310010022</v>
      </c>
      <c r="B325" s="58" t="s">
        <v>169</v>
      </c>
      <c r="C325" s="59" t="s">
        <v>798</v>
      </c>
      <c r="D325" s="58" t="s">
        <v>375</v>
      </c>
      <c r="E325" s="59" t="s">
        <v>634</v>
      </c>
      <c r="F325" s="58" t="s">
        <v>338</v>
      </c>
      <c r="G325" s="59" t="s">
        <v>489</v>
      </c>
      <c r="H325" s="58" t="s">
        <v>378</v>
      </c>
      <c r="I325" s="59" t="s">
        <v>553</v>
      </c>
      <c r="J325" s="58" t="s">
        <v>428</v>
      </c>
      <c r="K325" s="58" t="s">
        <v>429</v>
      </c>
    </row>
    <row r="326" spans="1:11" x14ac:dyDescent="0.25">
      <c r="A326" s="55" t="str">
        <f t="shared" si="5"/>
        <v>000310010065</v>
      </c>
      <c r="B326" s="58" t="s">
        <v>170</v>
      </c>
      <c r="C326" s="59" t="s">
        <v>799</v>
      </c>
      <c r="D326" s="58" t="s">
        <v>375</v>
      </c>
      <c r="E326" s="59" t="s">
        <v>634</v>
      </c>
      <c r="F326" s="58" t="s">
        <v>338</v>
      </c>
      <c r="G326" s="59" t="s">
        <v>489</v>
      </c>
      <c r="H326" s="58" t="s">
        <v>379</v>
      </c>
      <c r="I326" s="59" t="s">
        <v>800</v>
      </c>
      <c r="J326" s="58" t="s">
        <v>428</v>
      </c>
      <c r="K326" s="58" t="s">
        <v>429</v>
      </c>
    </row>
    <row r="327" spans="1:11" x14ac:dyDescent="0.25">
      <c r="A327" s="55" t="str">
        <f t="shared" si="5"/>
        <v>000310090010</v>
      </c>
      <c r="B327" s="58" t="s">
        <v>196</v>
      </c>
      <c r="C327" s="59" t="s">
        <v>801</v>
      </c>
      <c r="D327" s="58" t="s">
        <v>375</v>
      </c>
      <c r="E327" s="59" t="s">
        <v>634</v>
      </c>
      <c r="F327" s="58" t="s">
        <v>335</v>
      </c>
      <c r="G327" s="59" t="s">
        <v>530</v>
      </c>
      <c r="H327" s="58" t="s">
        <v>737</v>
      </c>
      <c r="I327" s="59" t="s">
        <v>802</v>
      </c>
      <c r="J327" s="58" t="s">
        <v>333</v>
      </c>
      <c r="K327" s="58" t="s">
        <v>0</v>
      </c>
    </row>
    <row r="328" spans="1:11" x14ac:dyDescent="0.25">
      <c r="A328" s="55" t="str">
        <f t="shared" si="5"/>
        <v>000310090011</v>
      </c>
      <c r="B328" s="58" t="s">
        <v>196</v>
      </c>
      <c r="C328" s="59" t="s">
        <v>801</v>
      </c>
      <c r="D328" s="58" t="s">
        <v>375</v>
      </c>
      <c r="E328" s="59" t="s">
        <v>634</v>
      </c>
      <c r="F328" s="58" t="s">
        <v>335</v>
      </c>
      <c r="G328" s="59" t="s">
        <v>530</v>
      </c>
      <c r="H328" s="58" t="s">
        <v>387</v>
      </c>
      <c r="I328" s="59" t="s">
        <v>803</v>
      </c>
      <c r="J328" s="58" t="s">
        <v>333</v>
      </c>
      <c r="K328" s="58" t="s">
        <v>429</v>
      </c>
    </row>
    <row r="329" spans="1:11" x14ac:dyDescent="0.25">
      <c r="A329" s="55" t="str">
        <f t="shared" si="5"/>
        <v>040010200110</v>
      </c>
      <c r="B329" s="60" t="s">
        <v>217</v>
      </c>
      <c r="C329" s="61" t="s">
        <v>804</v>
      </c>
      <c r="D329" s="62" t="s">
        <v>805</v>
      </c>
      <c r="E329" s="63" t="s">
        <v>806</v>
      </c>
      <c r="F329" s="64" t="s">
        <v>807</v>
      </c>
      <c r="G329" s="63" t="s">
        <v>808</v>
      </c>
      <c r="H329" s="64" t="s">
        <v>809</v>
      </c>
      <c r="I329" s="63" t="s">
        <v>810</v>
      </c>
      <c r="J329" s="64" t="s">
        <v>428</v>
      </c>
      <c r="K329" s="64" t="s">
        <v>429</v>
      </c>
    </row>
    <row r="330" spans="1:11" x14ac:dyDescent="0.25">
      <c r="A330" s="55" t="str">
        <f t="shared" si="5"/>
        <v>040010200140</v>
      </c>
      <c r="B330" s="60" t="s">
        <v>221</v>
      </c>
      <c r="C330" s="61" t="s">
        <v>811</v>
      </c>
      <c r="D330" s="62" t="s">
        <v>805</v>
      </c>
      <c r="E330" s="63" t="s">
        <v>806</v>
      </c>
      <c r="F330" s="64" t="s">
        <v>807</v>
      </c>
      <c r="G330" s="63" t="s">
        <v>808</v>
      </c>
      <c r="H330" s="64" t="s">
        <v>812</v>
      </c>
      <c r="I330" s="63" t="s">
        <v>813</v>
      </c>
      <c r="J330" s="64" t="s">
        <v>428</v>
      </c>
      <c r="K330" s="64" t="s">
        <v>429</v>
      </c>
    </row>
    <row r="331" spans="1:11" x14ac:dyDescent="0.25">
      <c r="A331" s="55" t="str">
        <f t="shared" si="5"/>
        <v>001710090170</v>
      </c>
      <c r="B331" s="60" t="s">
        <v>213</v>
      </c>
      <c r="C331" s="61" t="s">
        <v>814</v>
      </c>
      <c r="D331" s="62" t="s">
        <v>390</v>
      </c>
      <c r="E331" s="63" t="s">
        <v>766</v>
      </c>
      <c r="F331" s="64" t="s">
        <v>335</v>
      </c>
      <c r="G331" s="63" t="s">
        <v>530</v>
      </c>
      <c r="H331" s="64" t="s">
        <v>815</v>
      </c>
      <c r="I331" s="63" t="s">
        <v>816</v>
      </c>
      <c r="J331" s="64" t="s">
        <v>428</v>
      </c>
      <c r="K331" s="64" t="s">
        <v>429</v>
      </c>
    </row>
    <row r="332" spans="1:11" x14ac:dyDescent="0.25">
      <c r="A332" s="55" t="str">
        <f t="shared" si="5"/>
        <v>045090030180</v>
      </c>
      <c r="B332" s="60" t="s">
        <v>817</v>
      </c>
      <c r="C332" s="61" t="s">
        <v>818</v>
      </c>
      <c r="D332" s="65" t="s">
        <v>819</v>
      </c>
      <c r="E332" s="63" t="s">
        <v>820</v>
      </c>
      <c r="F332" s="64" t="s">
        <v>821</v>
      </c>
      <c r="G332" s="63" t="s">
        <v>822</v>
      </c>
      <c r="H332" s="64" t="s">
        <v>823</v>
      </c>
      <c r="I332" s="63" t="s">
        <v>824</v>
      </c>
      <c r="J332" s="64" t="s">
        <v>428</v>
      </c>
      <c r="K332" s="64" t="s">
        <v>429</v>
      </c>
    </row>
    <row r="333" spans="1:11" x14ac:dyDescent="0.25">
      <c r="A333" s="55" t="str">
        <f t="shared" si="5"/>
        <v>047010220190</v>
      </c>
      <c r="B333" s="60" t="s">
        <v>215</v>
      </c>
      <c r="C333" s="61" t="s">
        <v>825</v>
      </c>
      <c r="D333" s="62" t="s">
        <v>826</v>
      </c>
      <c r="E333" s="63" t="s">
        <v>827</v>
      </c>
      <c r="F333" s="64" t="s">
        <v>828</v>
      </c>
      <c r="G333" s="63" t="s">
        <v>829</v>
      </c>
      <c r="H333" s="64" t="s">
        <v>830</v>
      </c>
      <c r="I333" s="63" t="s">
        <v>831</v>
      </c>
      <c r="J333" s="64" t="s">
        <v>428</v>
      </c>
      <c r="K333" s="64" t="s">
        <v>429</v>
      </c>
    </row>
    <row r="334" spans="1:11" x14ac:dyDescent="0.25">
      <c r="A334" s="55" t="str">
        <f t="shared" si="5"/>
        <v>047010220230</v>
      </c>
      <c r="B334" s="60" t="s">
        <v>219</v>
      </c>
      <c r="C334" s="61" t="s">
        <v>832</v>
      </c>
      <c r="D334" s="62" t="s">
        <v>826</v>
      </c>
      <c r="E334" s="63" t="s">
        <v>827</v>
      </c>
      <c r="F334" s="64" t="s">
        <v>828</v>
      </c>
      <c r="G334" s="63" t="s">
        <v>829</v>
      </c>
      <c r="H334" s="64" t="s">
        <v>833</v>
      </c>
      <c r="I334" s="63" t="s">
        <v>834</v>
      </c>
      <c r="J334" s="64" t="s">
        <v>428</v>
      </c>
      <c r="K334" s="64" t="s">
        <v>429</v>
      </c>
    </row>
    <row r="335" spans="1:11" x14ac:dyDescent="0.25">
      <c r="A335" s="55" t="str">
        <f t="shared" si="5"/>
        <v>040110210240</v>
      </c>
      <c r="B335" s="60" t="s">
        <v>835</v>
      </c>
      <c r="C335" s="61" t="s">
        <v>836</v>
      </c>
      <c r="D335" s="62" t="s">
        <v>837</v>
      </c>
      <c r="E335" s="63" t="s">
        <v>838</v>
      </c>
      <c r="F335" s="64" t="s">
        <v>839</v>
      </c>
      <c r="G335" s="63" t="s">
        <v>840</v>
      </c>
      <c r="H335" s="64" t="s">
        <v>841</v>
      </c>
      <c r="I335" s="63" t="s">
        <v>842</v>
      </c>
      <c r="J335" s="64" t="s">
        <v>428</v>
      </c>
      <c r="K335" s="64" t="s">
        <v>429</v>
      </c>
    </row>
    <row r="336" spans="1:11" x14ac:dyDescent="0.25">
      <c r="A336" s="55" t="str">
        <f t="shared" si="5"/>
        <v>001710090260</v>
      </c>
      <c r="B336" s="60" t="s">
        <v>843</v>
      </c>
      <c r="C336" s="61" t="s">
        <v>844</v>
      </c>
      <c r="D336" s="62" t="s">
        <v>390</v>
      </c>
      <c r="E336" s="63" t="s">
        <v>766</v>
      </c>
      <c r="F336" s="64" t="s">
        <v>335</v>
      </c>
      <c r="G336" s="63" t="s">
        <v>530</v>
      </c>
      <c r="H336" s="64" t="s">
        <v>845</v>
      </c>
      <c r="I336" s="63" t="s">
        <v>846</v>
      </c>
      <c r="J336" s="64" t="s">
        <v>428</v>
      </c>
      <c r="K336" s="64" t="s">
        <v>429</v>
      </c>
    </row>
    <row r="337" spans="1:11" x14ac:dyDescent="0.25">
      <c r="A337" s="55" t="str">
        <f t="shared" si="5"/>
        <v>046090020270</v>
      </c>
      <c r="B337" s="60" t="s">
        <v>847</v>
      </c>
      <c r="C337" s="61" t="s">
        <v>848</v>
      </c>
      <c r="D337" s="62" t="s">
        <v>849</v>
      </c>
      <c r="E337" s="63" t="s">
        <v>850</v>
      </c>
      <c r="F337" s="64" t="s">
        <v>851</v>
      </c>
      <c r="G337" s="63" t="s">
        <v>852</v>
      </c>
      <c r="H337" s="64" t="s">
        <v>853</v>
      </c>
      <c r="I337" s="63" t="s">
        <v>854</v>
      </c>
      <c r="J337" s="64" t="s">
        <v>428</v>
      </c>
      <c r="K337" s="64" t="s">
        <v>429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1"/>
  <sheetViews>
    <sheetView showGridLines="0" workbookViewId="0"/>
  </sheetViews>
  <sheetFormatPr defaultRowHeight="15" x14ac:dyDescent="0.25"/>
  <cols>
    <col min="1" max="1" width="12" customWidth="1"/>
    <col min="2" max="2" width="13.7109375" customWidth="1"/>
    <col min="3" max="3" width="19.140625" customWidth="1"/>
    <col min="4" max="5" width="15" bestFit="1" customWidth="1"/>
    <col min="6" max="6" width="12.140625" bestFit="1" customWidth="1"/>
    <col min="7" max="7" width="14.140625" bestFit="1" customWidth="1"/>
    <col min="8" max="8" width="14.7109375" bestFit="1" customWidth="1"/>
    <col min="9" max="9" width="16.7109375" bestFit="1" customWidth="1"/>
    <col min="10" max="10" width="14.28515625" bestFit="1" customWidth="1"/>
    <col min="11" max="11" width="11.7109375" bestFit="1" customWidth="1"/>
  </cols>
  <sheetData>
    <row r="1" spans="1:11" x14ac:dyDescent="0.25">
      <c r="A1" t="s">
        <v>867</v>
      </c>
    </row>
    <row r="2" spans="1:11" x14ac:dyDescent="0.25">
      <c r="A2" s="73">
        <v>42999</v>
      </c>
      <c r="B2" s="54" t="s">
        <v>887</v>
      </c>
      <c r="C2" s="54"/>
      <c r="D2" s="54"/>
      <c r="E2" s="54"/>
      <c r="F2" s="54"/>
      <c r="G2" s="54"/>
      <c r="H2" s="54"/>
      <c r="I2" s="54"/>
      <c r="J2" s="54"/>
      <c r="K2" s="54"/>
    </row>
    <row r="3" spans="1:11" x14ac:dyDescent="0.25">
      <c r="A3" s="15" t="s">
        <v>868</v>
      </c>
      <c r="B3" s="54"/>
      <c r="C3" s="54"/>
      <c r="D3" s="54"/>
      <c r="E3" s="54"/>
      <c r="F3" s="54"/>
      <c r="G3" s="54"/>
      <c r="H3" s="54"/>
      <c r="I3" s="54"/>
      <c r="J3" s="54"/>
      <c r="K3" s="54"/>
    </row>
    <row r="4" spans="1:11" x14ac:dyDescent="0.25">
      <c r="A4" s="16" t="s">
        <v>869</v>
      </c>
      <c r="B4" s="16" t="s">
        <v>870</v>
      </c>
      <c r="C4" s="16" t="s">
        <v>871</v>
      </c>
      <c r="D4" s="16" t="s">
        <v>872</v>
      </c>
      <c r="E4" s="16" t="s">
        <v>367</v>
      </c>
      <c r="F4" s="16" t="s">
        <v>369</v>
      </c>
      <c r="G4" s="16" t="s">
        <v>368</v>
      </c>
      <c r="H4" s="54"/>
      <c r="I4" s="54"/>
      <c r="J4" s="54"/>
      <c r="K4" s="54"/>
    </row>
    <row r="5" spans="1:11" x14ac:dyDescent="0.25">
      <c r="A5" s="17">
        <v>201708</v>
      </c>
      <c r="B5" s="37" t="s">
        <v>873</v>
      </c>
      <c r="C5" s="18">
        <v>3</v>
      </c>
      <c r="D5" s="18" t="s">
        <v>874</v>
      </c>
      <c r="E5" s="17">
        <v>2</v>
      </c>
      <c r="F5" s="18">
        <v>28</v>
      </c>
      <c r="G5" s="19">
        <v>1001</v>
      </c>
      <c r="H5" s="54"/>
      <c r="I5" s="54"/>
      <c r="J5" s="54"/>
      <c r="K5" s="54"/>
    </row>
    <row r="6" spans="1:11" x14ac:dyDescent="0.25">
      <c r="A6" s="20">
        <v>201708</v>
      </c>
      <c r="B6" s="38" t="s">
        <v>873</v>
      </c>
      <c r="C6" s="21">
        <v>2</v>
      </c>
      <c r="D6" s="21" t="s">
        <v>874</v>
      </c>
      <c r="E6" s="20">
        <v>2</v>
      </c>
      <c r="F6" s="21">
        <v>28</v>
      </c>
      <c r="G6" s="22">
        <v>1001</v>
      </c>
      <c r="H6" s="54"/>
      <c r="I6" s="54"/>
      <c r="J6" s="54"/>
      <c r="K6" s="54"/>
    </row>
    <row r="7" spans="1:11" x14ac:dyDescent="0.25">
      <c r="A7" s="17">
        <v>201708</v>
      </c>
      <c r="B7" s="37" t="s">
        <v>873</v>
      </c>
      <c r="C7" s="18">
        <v>2</v>
      </c>
      <c r="D7" s="18" t="s">
        <v>875</v>
      </c>
      <c r="E7" s="17">
        <v>4</v>
      </c>
      <c r="F7" s="18">
        <v>25</v>
      </c>
      <c r="G7" s="19">
        <v>1001</v>
      </c>
      <c r="H7" s="54"/>
      <c r="I7" s="54"/>
      <c r="J7" s="54"/>
      <c r="K7" s="54"/>
    </row>
    <row r="8" spans="1:11" x14ac:dyDescent="0.25">
      <c r="A8" s="23">
        <v>201708</v>
      </c>
      <c r="B8" s="36" t="s">
        <v>873</v>
      </c>
      <c r="C8" s="24">
        <v>3</v>
      </c>
      <c r="D8" s="24" t="s">
        <v>875</v>
      </c>
      <c r="E8" s="23">
        <v>4</v>
      </c>
      <c r="F8" s="24">
        <v>25</v>
      </c>
      <c r="G8" s="25">
        <v>1001</v>
      </c>
      <c r="H8" s="54"/>
      <c r="I8" s="54"/>
      <c r="J8" s="54"/>
      <c r="K8" s="54"/>
    </row>
    <row r="9" spans="1:11" x14ac:dyDescent="0.25">
      <c r="A9" s="20">
        <v>201708</v>
      </c>
      <c r="B9" s="38" t="s">
        <v>873</v>
      </c>
      <c r="C9" s="21">
        <v>0</v>
      </c>
      <c r="D9" s="21" t="s">
        <v>876</v>
      </c>
      <c r="E9" s="20">
        <v>3</v>
      </c>
      <c r="F9" s="21">
        <v>65</v>
      </c>
      <c r="G9" s="22">
        <v>1001</v>
      </c>
      <c r="H9" s="54"/>
      <c r="I9" s="54"/>
      <c r="J9" s="54"/>
      <c r="K9" s="54"/>
    </row>
    <row r="10" spans="1:11" x14ac:dyDescent="0.25">
      <c r="A10" s="20">
        <v>201708</v>
      </c>
      <c r="B10" s="38" t="s">
        <v>873</v>
      </c>
      <c r="C10" s="21">
        <v>3</v>
      </c>
      <c r="D10" s="21" t="s">
        <v>876</v>
      </c>
      <c r="E10" s="20">
        <v>3</v>
      </c>
      <c r="F10" s="21">
        <v>65</v>
      </c>
      <c r="G10" s="22">
        <v>1001</v>
      </c>
      <c r="H10" s="54"/>
      <c r="I10" s="54"/>
      <c r="J10" s="54"/>
      <c r="K10" s="54"/>
    </row>
    <row r="11" spans="1:11" x14ac:dyDescent="0.25">
      <c r="A11" s="20">
        <v>201708</v>
      </c>
      <c r="B11" s="38" t="s">
        <v>873</v>
      </c>
      <c r="C11" s="21">
        <v>1</v>
      </c>
      <c r="D11" s="21" t="s">
        <v>876</v>
      </c>
      <c r="E11" s="20">
        <v>3</v>
      </c>
      <c r="F11" s="21">
        <v>65</v>
      </c>
      <c r="G11" s="22">
        <v>1001</v>
      </c>
      <c r="H11" s="54"/>
      <c r="I11" s="54"/>
      <c r="J11" s="54"/>
      <c r="K11" s="54"/>
    </row>
    <row r="12" spans="1:11" x14ac:dyDescent="0.25">
      <c r="A12" s="23">
        <v>201708</v>
      </c>
      <c r="B12" s="36" t="s">
        <v>873</v>
      </c>
      <c r="C12" s="24">
        <v>2</v>
      </c>
      <c r="D12" s="24" t="s">
        <v>876</v>
      </c>
      <c r="E12" s="23">
        <v>3</v>
      </c>
      <c r="F12" s="24">
        <v>65</v>
      </c>
      <c r="G12" s="25">
        <v>1001</v>
      </c>
      <c r="H12" s="54"/>
      <c r="I12" s="54"/>
      <c r="J12" s="54"/>
      <c r="K12" s="54"/>
    </row>
    <row r="13" spans="1:11" s="54" customFormat="1" x14ac:dyDescent="0.25">
      <c r="A13" s="21"/>
      <c r="B13" s="38"/>
      <c r="C13" s="21"/>
      <c r="D13" s="21"/>
      <c r="E13" s="21"/>
      <c r="F13" s="21"/>
      <c r="G13" s="21"/>
    </row>
    <row r="14" spans="1:11" x14ac:dyDescent="0.25">
      <c r="A14" s="73">
        <v>42999</v>
      </c>
      <c r="B14" s="54"/>
      <c r="C14" s="54"/>
      <c r="D14" s="54"/>
      <c r="E14" s="54"/>
      <c r="F14" s="54"/>
      <c r="G14" s="54"/>
      <c r="H14" s="54"/>
      <c r="I14" s="54"/>
      <c r="J14" s="54"/>
      <c r="K14" s="54"/>
    </row>
    <row r="15" spans="1:11" x14ac:dyDescent="0.25">
      <c r="A15" s="15" t="s">
        <v>877</v>
      </c>
      <c r="B15" s="54"/>
      <c r="C15" s="54"/>
      <c r="D15" s="54"/>
      <c r="E15" s="54"/>
      <c r="F15" s="54"/>
      <c r="G15" s="54"/>
      <c r="H15" s="54"/>
      <c r="I15" s="54"/>
      <c r="J15" s="54"/>
      <c r="K15" s="54"/>
    </row>
    <row r="16" spans="1:11" x14ac:dyDescent="0.25">
      <c r="A16" s="51" t="s">
        <v>878</v>
      </c>
      <c r="B16" s="54"/>
      <c r="C16" s="54"/>
      <c r="D16" s="54"/>
      <c r="E16" s="54"/>
      <c r="F16" s="54"/>
      <c r="G16" s="54"/>
      <c r="H16" s="54"/>
      <c r="I16" s="54"/>
      <c r="J16" s="54"/>
      <c r="K16" s="54"/>
    </row>
    <row r="17" spans="1:11" x14ac:dyDescent="0.25">
      <c r="A17" s="16" t="s">
        <v>880</v>
      </c>
      <c r="B17" s="16" t="s">
        <v>870</v>
      </c>
      <c r="C17" s="16" t="s">
        <v>871</v>
      </c>
      <c r="D17" s="16" t="s">
        <v>367</v>
      </c>
      <c r="E17" s="16" t="s">
        <v>368</v>
      </c>
      <c r="F17" s="16" t="s">
        <v>369</v>
      </c>
      <c r="G17" s="16" t="s">
        <v>881</v>
      </c>
      <c r="H17" s="16" t="s">
        <v>882</v>
      </c>
      <c r="I17" s="16" t="s">
        <v>883</v>
      </c>
      <c r="J17" s="16" t="s">
        <v>884</v>
      </c>
      <c r="K17" s="16" t="s">
        <v>885</v>
      </c>
    </row>
    <row r="18" spans="1:11" x14ac:dyDescent="0.25">
      <c r="A18" s="40" t="s">
        <v>886</v>
      </c>
      <c r="B18" s="41" t="s">
        <v>879</v>
      </c>
      <c r="C18" s="41" t="s">
        <v>291</v>
      </c>
      <c r="D18" s="41" t="s">
        <v>375</v>
      </c>
      <c r="E18" s="41" t="s">
        <v>338</v>
      </c>
      <c r="F18" s="41" t="s">
        <v>379</v>
      </c>
      <c r="G18" s="74">
        <v>1</v>
      </c>
      <c r="H18" s="74">
        <v>1</v>
      </c>
      <c r="I18" s="74">
        <v>0</v>
      </c>
      <c r="J18" s="74">
        <v>1</v>
      </c>
      <c r="K18" s="75">
        <v>0</v>
      </c>
    </row>
    <row r="19" spans="1:11" x14ac:dyDescent="0.25">
      <c r="A19" s="42" t="s">
        <v>886</v>
      </c>
      <c r="B19" s="43" t="s">
        <v>879</v>
      </c>
      <c r="C19" s="43" t="s">
        <v>293</v>
      </c>
      <c r="D19" s="43" t="s">
        <v>375</v>
      </c>
      <c r="E19" s="43" t="s">
        <v>338</v>
      </c>
      <c r="F19" s="43" t="s">
        <v>379</v>
      </c>
      <c r="G19" s="76">
        <v>1</v>
      </c>
      <c r="H19" s="76">
        <v>1</v>
      </c>
      <c r="I19" s="76">
        <v>0</v>
      </c>
      <c r="J19" s="76">
        <v>1</v>
      </c>
      <c r="K19" s="77">
        <v>0</v>
      </c>
    </row>
    <row r="20" spans="1:11" x14ac:dyDescent="0.25">
      <c r="A20" s="42" t="s">
        <v>886</v>
      </c>
      <c r="B20" s="43" t="s">
        <v>879</v>
      </c>
      <c r="C20" s="43" t="s">
        <v>290</v>
      </c>
      <c r="D20" s="43" t="s">
        <v>375</v>
      </c>
      <c r="E20" s="43" t="s">
        <v>338</v>
      </c>
      <c r="F20" s="43" t="s">
        <v>379</v>
      </c>
      <c r="G20" s="76">
        <v>1</v>
      </c>
      <c r="H20" s="76">
        <v>0</v>
      </c>
      <c r="I20" s="76">
        <v>0</v>
      </c>
      <c r="J20" s="76">
        <v>0</v>
      </c>
      <c r="K20" s="77">
        <v>0</v>
      </c>
    </row>
    <row r="21" spans="1:11" x14ac:dyDescent="0.25">
      <c r="A21" s="44" t="s">
        <v>886</v>
      </c>
      <c r="B21" s="45" t="s">
        <v>879</v>
      </c>
      <c r="C21" s="45" t="s">
        <v>292</v>
      </c>
      <c r="D21" s="45" t="s">
        <v>375</v>
      </c>
      <c r="E21" s="45" t="s">
        <v>338</v>
      </c>
      <c r="F21" s="45" t="s">
        <v>379</v>
      </c>
      <c r="G21" s="78">
        <v>1</v>
      </c>
      <c r="H21" s="78">
        <v>0</v>
      </c>
      <c r="I21" s="78">
        <v>0</v>
      </c>
      <c r="J21" s="78">
        <v>0</v>
      </c>
      <c r="K21" s="79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Members</vt:lpstr>
      <vt:lpstr>EMAIL</vt:lpstr>
      <vt:lpstr>BIS</vt:lpstr>
      <vt:lpstr>BIS-D</vt:lpstr>
      <vt:lpstr>BIS-V</vt:lpstr>
      <vt:lpstr>Reserves</vt:lpstr>
      <vt:lpstr>ResCat</vt:lpstr>
      <vt:lpstr>COA</vt:lpstr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Gee, Vince</dc:creator>
  <cp:lastModifiedBy>Gee, Vince</cp:lastModifiedBy>
  <dcterms:created xsi:type="dcterms:W3CDTF">2017-09-18T23:09:48Z</dcterms:created>
  <dcterms:modified xsi:type="dcterms:W3CDTF">2018-03-01T17:19:49Z</dcterms:modified>
</cp:coreProperties>
</file>